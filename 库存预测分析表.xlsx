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<sst xmlns="http://schemas.openxmlformats.org/spreadsheetml/2006/main" count="151" uniqueCount="29">
  <si>
    <t>MOQ</t>
  </si>
  <si>
    <t>kg</t>
  </si>
  <si>
    <t>LDtime（天）</t>
  </si>
  <si>
    <t>提前量（天）</t>
  </si>
  <si>
    <t>安全库存系数</t>
  </si>
  <si>
    <t>初始货量200</t>
  </si>
  <si>
    <t>判断：LDtime天后，货量是否会低于安全库存</t>
  </si>
  <si>
    <t>LDtime前单元格=1，则=MOQ，否则为0</t>
  </si>
  <si>
    <t>预测leadtime时间</t>
  </si>
  <si>
    <t>=上一天的货量-实际出库量+当日到货量</t>
  </si>
  <si>
    <t>日期</t>
  </si>
  <si>
    <t>仓</t>
  </si>
  <si>
    <t>物料</t>
  </si>
  <si>
    <t>当日出货量</t>
  </si>
  <si>
    <t>预测出货量1</t>
  </si>
  <si>
    <t>预测出货量2</t>
  </si>
  <si>
    <t>预测出货量3</t>
  </si>
  <si>
    <t>预测出货量4</t>
  </si>
  <si>
    <t>误差1</t>
  </si>
  <si>
    <t>误差2</t>
  </si>
  <si>
    <t>误差3</t>
  </si>
  <si>
    <t>误差4</t>
  </si>
  <si>
    <t>安全库存</t>
  </si>
  <si>
    <t>是否下单</t>
  </si>
  <si>
    <t>到货量</t>
  </si>
  <si>
    <t>每日货量-预测</t>
  </si>
  <si>
    <t>每日货量-实际</t>
  </si>
  <si>
    <t>上海仓</t>
  </si>
  <si>
    <t>乳基粉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</si>
</sst>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Sheet3!$Q$4</c:f>
              <c:strCache>
                <c:ptCount val="1"/>
                <c:pt idx="0">
                  <c:v>到货量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Lit>
              <c:ptCount val="31"/>
              <c:pt idx="0">
                <c:v>32</c:v>
              </c:pt>
              <c:pt idx="1">
                <c:v>33</c:v>
              </c:pt>
              <c:pt idx="2">
                <c:v>34</c:v>
              </c:pt>
              <c:pt idx="3">
                <c:v>35</c:v>
              </c:pt>
              <c:pt idx="4">
                <c:v>36</c:v>
              </c:pt>
              <c:pt idx="5">
                <c:v>37</c:v>
              </c:pt>
              <c:pt idx="6">
                <c:v>38</c:v>
              </c:pt>
              <c:pt idx="7">
                <c:v>39</c:v>
              </c:pt>
              <c:pt idx="8">
                <c:v>40</c:v>
              </c:pt>
              <c:pt idx="9">
                <c:v>41</c:v>
              </c:pt>
              <c:pt idx="10">
                <c:v>42</c:v>
              </c:pt>
              <c:pt idx="11">
                <c:v>43</c:v>
              </c:pt>
              <c:pt idx="12">
                <c:v>44</c:v>
              </c:pt>
              <c:pt idx="13">
                <c:v>45</c:v>
              </c:pt>
              <c:pt idx="14">
                <c:v>46</c:v>
              </c:pt>
              <c:pt idx="15">
                <c:v>47</c:v>
              </c:pt>
              <c:pt idx="16">
                <c:v>48</c:v>
              </c:pt>
              <c:pt idx="17">
                <c:v>49</c:v>
              </c:pt>
              <c:pt idx="18">
                <c:v>50</c:v>
              </c:pt>
              <c:pt idx="19">
                <c:v>51</c:v>
              </c:pt>
              <c:pt idx="20">
                <c:v>52</c:v>
              </c:pt>
              <c:pt idx="21">
                <c:v>53</c:v>
              </c:pt>
              <c:pt idx="22">
                <c:v>54</c:v>
              </c:pt>
              <c:pt idx="23">
                <c:v>55</c:v>
              </c:pt>
              <c:pt idx="24">
                <c:v>56</c:v>
              </c:pt>
              <c:pt idx="25">
                <c:v>57</c:v>
              </c:pt>
              <c:pt idx="26">
                <c:v>58</c:v>
              </c:pt>
              <c:pt idx="27">
                <c:v>59</c:v>
              </c:pt>
              <c:pt idx="28">
                <c:v>60</c:v>
              </c:pt>
              <c:pt idx="29">
                <c:v>61</c:v>
              </c:pt>
              <c:pt idx="30">
                <c:v>62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Sheet3!$Q$5:$Q$66</c15:sqref>
                  </c15:fullRef>
                </c:ext>
              </c:extLst>
              <c:f>Sheet3!$Q$36:$Q$66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85711"/>
        <c:axId val="7656335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Sheet3!$P$4</c15:sqref>
                        </c15:formulaRef>
                      </c:ext>
                    </c:extLst>
                    <c:strCache>
                      <c:ptCount val="1"/>
                      <c:pt idx="0">
                        <c:v>是否下单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Lit>
                    <c:ptCount val="31"/>
                    <c:pt idx="0">
                      <c:v>32</c:v>
                    </c:pt>
                    <c:pt idx="1">
                      <c:v>33</c:v>
                    </c:pt>
                    <c:pt idx="2">
                      <c:v>34</c:v>
                    </c:pt>
                    <c:pt idx="3">
                      <c:v>35</c:v>
                    </c:pt>
                    <c:pt idx="4">
                      <c:v>36</c:v>
                    </c:pt>
                    <c:pt idx="5">
                      <c:v>37</c:v>
                    </c:pt>
                    <c:pt idx="6">
                      <c:v>38</c:v>
                    </c:pt>
                    <c:pt idx="7">
                      <c:v>39</c:v>
                    </c:pt>
                    <c:pt idx="8">
                      <c:v>40</c:v>
                    </c:pt>
                    <c:pt idx="9">
                      <c:v>41</c:v>
                    </c:pt>
                    <c:pt idx="10">
                      <c:v>42</c:v>
                    </c:pt>
                    <c:pt idx="11">
                      <c:v>43</c:v>
                    </c:pt>
                    <c:pt idx="12">
                      <c:v>44</c:v>
                    </c:pt>
                    <c:pt idx="13">
                      <c:v>45</c:v>
                    </c:pt>
                    <c:pt idx="14">
                      <c:v>46</c:v>
                    </c:pt>
                    <c:pt idx="15">
                      <c:v>47</c:v>
                    </c:pt>
                    <c:pt idx="16">
                      <c:v>48</c:v>
                    </c:pt>
                    <c:pt idx="17">
                      <c:v>49</c:v>
                    </c:pt>
                    <c:pt idx="18">
                      <c:v>50</c:v>
                    </c:pt>
                    <c:pt idx="19">
                      <c:v>51</c:v>
                    </c:pt>
                    <c:pt idx="20">
                      <c:v>52</c:v>
                    </c:pt>
                    <c:pt idx="21">
                      <c:v>53</c:v>
                    </c:pt>
                    <c:pt idx="22">
                      <c:v>54</c:v>
                    </c:pt>
                    <c:pt idx="23">
                      <c:v>55</c:v>
                    </c:pt>
                    <c:pt idx="24">
                      <c:v>56</c:v>
                    </c:pt>
                    <c:pt idx="25">
                      <c:v>57</c:v>
                    </c:pt>
                    <c:pt idx="26">
                      <c:v>58</c:v>
                    </c:pt>
                    <c:pt idx="27">
                      <c:v>59</c:v>
                    </c:pt>
                    <c:pt idx="28">
                      <c:v>60</c:v>
                    </c:pt>
                    <c:pt idx="29">
                      <c:v>61</c:v>
                    </c:pt>
                    <c:pt idx="30">
                      <c:v>62</c:v>
                    </c:pt>
                    <c:extLst>
                      <c:ext xmlns:c15="http://schemas.microsoft.com/office/drawing/2012/chart"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ullRef>
                          <c15:sqref>Sheet3!$P$5:$P$66</c15:sqref>
                        </c15:fullRef>
                        <c15:formulaRef>
                          <c15:sqref>Sheet3!$P$36:$P$66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Sheet3!$O$4</c:f>
              <c:strCache>
                <c:ptCount val="1"/>
                <c:pt idx="0">
                  <c:v>安全库存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Sheet3!$C$5:$C$66</c15:sqref>
                  </c15:fullRef>
                </c:ext>
              </c:extLst>
              <c:f>Sheet3!$C$36:$C$66</c:f>
              <c:numCache>
                <c:formatCode>m"月"d"日"</c:formatCode>
                <c:ptCount val="31"/>
                <c:pt idx="0" c:formatCode="m&quot;月&quot;d&quot;日&quot;">
                  <c:v>46054</c:v>
                </c:pt>
                <c:pt idx="1" c:formatCode="m&quot;月&quot;d&quot;日&quot;">
                  <c:v>46055</c:v>
                </c:pt>
                <c:pt idx="2" c:formatCode="m&quot;月&quot;d&quot;日&quot;">
                  <c:v>46056</c:v>
                </c:pt>
                <c:pt idx="3" c:formatCode="m&quot;月&quot;d&quot;日&quot;">
                  <c:v>46057</c:v>
                </c:pt>
                <c:pt idx="4" c:formatCode="m&quot;月&quot;d&quot;日&quot;">
                  <c:v>46058</c:v>
                </c:pt>
                <c:pt idx="5" c:formatCode="m&quot;月&quot;d&quot;日&quot;">
                  <c:v>46059</c:v>
                </c:pt>
                <c:pt idx="6" c:formatCode="m&quot;月&quot;d&quot;日&quot;">
                  <c:v>46060</c:v>
                </c:pt>
                <c:pt idx="7" c:formatCode="m&quot;月&quot;d&quot;日&quot;">
                  <c:v>46061</c:v>
                </c:pt>
                <c:pt idx="8" c:formatCode="m&quot;月&quot;d&quot;日&quot;">
                  <c:v>46062</c:v>
                </c:pt>
                <c:pt idx="9" c:formatCode="m&quot;月&quot;d&quot;日&quot;">
                  <c:v>46063</c:v>
                </c:pt>
                <c:pt idx="10" c:formatCode="m&quot;月&quot;d&quot;日&quot;">
                  <c:v>46064</c:v>
                </c:pt>
                <c:pt idx="11" c:formatCode="m&quot;月&quot;d&quot;日&quot;">
                  <c:v>46065</c:v>
                </c:pt>
                <c:pt idx="12" c:formatCode="m&quot;月&quot;d&quot;日&quot;">
                  <c:v>46066</c:v>
                </c:pt>
                <c:pt idx="13" c:formatCode="m&quot;月&quot;d&quot;日&quot;">
                  <c:v>46067</c:v>
                </c:pt>
                <c:pt idx="14" c:formatCode="m&quot;月&quot;d&quot;日&quot;">
                  <c:v>46068</c:v>
                </c:pt>
                <c:pt idx="15" c:formatCode="m&quot;月&quot;d&quot;日&quot;">
                  <c:v>46069</c:v>
                </c:pt>
                <c:pt idx="16" c:formatCode="m&quot;月&quot;d&quot;日&quot;">
                  <c:v>46070</c:v>
                </c:pt>
                <c:pt idx="17" c:formatCode="m&quot;月&quot;d&quot;日&quot;">
                  <c:v>46071</c:v>
                </c:pt>
                <c:pt idx="18" c:formatCode="m&quot;月&quot;d&quot;日&quot;">
                  <c:v>46072</c:v>
                </c:pt>
                <c:pt idx="19" c:formatCode="m&quot;月&quot;d&quot;日&quot;">
                  <c:v>46073</c:v>
                </c:pt>
                <c:pt idx="20" c:formatCode="m&quot;月&quot;d&quot;日&quot;">
                  <c:v>46074</c:v>
                </c:pt>
                <c:pt idx="21" c:formatCode="m&quot;月&quot;d&quot;日&quot;">
                  <c:v>46075</c:v>
                </c:pt>
                <c:pt idx="22" c:formatCode="m&quot;月&quot;d&quot;日&quot;">
                  <c:v>46076</c:v>
                </c:pt>
                <c:pt idx="23" c:formatCode="m&quot;月&quot;d&quot;日&quot;">
                  <c:v>46077</c:v>
                </c:pt>
                <c:pt idx="24" c:formatCode="m&quot;月&quot;d&quot;日&quot;">
                  <c:v>46078</c:v>
                </c:pt>
                <c:pt idx="25" c:formatCode="m&quot;月&quot;d&quot;日&quot;">
                  <c:v>46079</c:v>
                </c:pt>
                <c:pt idx="26" c:formatCode="m&quot;月&quot;d&quot;日&quot;">
                  <c:v>46080</c:v>
                </c:pt>
                <c:pt idx="27" c:formatCode="m&quot;月&quot;d&quot;日&quot;">
                  <c:v>46081</c:v>
                </c:pt>
                <c:pt idx="28" c:formatCode="m&quot;月&quot;d&quot;日&quot;">
                  <c:v>46082</c:v>
                </c:pt>
                <c:pt idx="29" c:formatCode="m&quot;月&quot;d&quot;日&quot;">
                  <c:v>46083</c:v>
                </c:pt>
                <c:pt idx="30" c:formatCode="m&quot;月&quot;d&quot;日&quot;">
                  <c:v>46084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Sheet3!$O$5:$O$66</c15:sqref>
                  </c15:fullRef>
                </c:ext>
              </c:extLst>
              <c:f>Sheet3!$O$36:$O$66</c:f>
              <c:numCache>
                <c:formatCode>0.000_ </c:formatCode>
                <c:ptCount val="31"/>
                <c:pt idx="0">
                  <c:v>30.3344006776742</c:v>
                </c:pt>
                <c:pt idx="1">
                  <c:v>30.1961942530581</c:v>
                </c:pt>
                <c:pt idx="2">
                  <c:v>30.5471093472637</c:v>
                </c:pt>
                <c:pt idx="3">
                  <c:v>30.8019668075031</c:v>
                </c:pt>
                <c:pt idx="4">
                  <c:v>33.0730041168895</c:v>
                </c:pt>
                <c:pt idx="5">
                  <c:v>34.287084418112</c:v>
                </c:pt>
                <c:pt idx="6">
                  <c:v>35.01162981594</c:v>
                </c:pt>
                <c:pt idx="7">
                  <c:v>35.573056646998</c:v>
                </c:pt>
                <c:pt idx="8">
                  <c:v>36.2645353072755</c:v>
                </c:pt>
                <c:pt idx="9">
                  <c:v>36.2965524678671</c:v>
                </c:pt>
                <c:pt idx="10">
                  <c:v>33.2311744886445</c:v>
                </c:pt>
                <c:pt idx="11">
                  <c:v>32.6898696886842</c:v>
                </c:pt>
                <c:pt idx="12">
                  <c:v>33.1363498926862</c:v>
                </c:pt>
                <c:pt idx="13">
                  <c:v>31.7093182593648</c:v>
                </c:pt>
                <c:pt idx="14">
                  <c:v>33.4068869554263</c:v>
                </c:pt>
                <c:pt idx="15">
                  <c:v>33.5049447254078</c:v>
                </c:pt>
                <c:pt idx="16">
                  <c:v>33.6978586114904</c:v>
                </c:pt>
                <c:pt idx="17">
                  <c:v>32.6399862132324</c:v>
                </c:pt>
                <c:pt idx="18">
                  <c:v>31.3580356737438</c:v>
                </c:pt>
                <c:pt idx="19">
                  <c:v>33.2561453759024</c:v>
                </c:pt>
                <c:pt idx="20">
                  <c:v>33.2172800820993</c:v>
                </c:pt>
                <c:pt idx="21">
                  <c:v>33.2799493926741</c:v>
                </c:pt>
                <c:pt idx="22">
                  <c:v>31.4788632719598</c:v>
                </c:pt>
                <c:pt idx="23">
                  <c:v>29.2426726989676</c:v>
                </c:pt>
                <c:pt idx="24">
                  <c:v>28.1798264908184</c:v>
                </c:pt>
                <c:pt idx="25">
                  <c:v>27.1757097665505</c:v>
                </c:pt>
                <c:pt idx="26">
                  <c:v>28.2137980661199</c:v>
                </c:pt>
                <c:pt idx="27">
                  <c:v>27.5497560405666</c:v>
                </c:pt>
                <c:pt idx="28">
                  <c:v>26.075422487368</c:v>
                </c:pt>
                <c:pt idx="29">
                  <c:v>26.112543567775</c:v>
                </c:pt>
                <c:pt idx="30">
                  <c:v>27.8356172820666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Sheet3!$S$4</c:f>
              <c:strCache>
                <c:ptCount val="1"/>
                <c:pt idx="0">
                  <c:v>每日货量-实际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Sheet3!$C$5:$C$66</c15:sqref>
                  </c15:fullRef>
                </c:ext>
              </c:extLst>
              <c:f>Sheet3!$C$36:$C$66</c:f>
              <c:numCache>
                <c:formatCode>m"月"d"日"</c:formatCode>
                <c:ptCount val="31"/>
                <c:pt idx="0" c:formatCode="m&quot;月&quot;d&quot;日&quot;">
                  <c:v>46054</c:v>
                </c:pt>
                <c:pt idx="1" c:formatCode="m&quot;月&quot;d&quot;日&quot;">
                  <c:v>46055</c:v>
                </c:pt>
                <c:pt idx="2" c:formatCode="m&quot;月&quot;d&quot;日&quot;">
                  <c:v>46056</c:v>
                </c:pt>
                <c:pt idx="3" c:formatCode="m&quot;月&quot;d&quot;日&quot;">
                  <c:v>46057</c:v>
                </c:pt>
                <c:pt idx="4" c:formatCode="m&quot;月&quot;d&quot;日&quot;">
                  <c:v>46058</c:v>
                </c:pt>
                <c:pt idx="5" c:formatCode="m&quot;月&quot;d&quot;日&quot;">
                  <c:v>46059</c:v>
                </c:pt>
                <c:pt idx="6" c:formatCode="m&quot;月&quot;d&quot;日&quot;">
                  <c:v>46060</c:v>
                </c:pt>
                <c:pt idx="7" c:formatCode="m&quot;月&quot;d&quot;日&quot;">
                  <c:v>46061</c:v>
                </c:pt>
                <c:pt idx="8" c:formatCode="m&quot;月&quot;d&quot;日&quot;">
                  <c:v>46062</c:v>
                </c:pt>
                <c:pt idx="9" c:formatCode="m&quot;月&quot;d&quot;日&quot;">
                  <c:v>46063</c:v>
                </c:pt>
                <c:pt idx="10" c:formatCode="m&quot;月&quot;d&quot;日&quot;">
                  <c:v>46064</c:v>
                </c:pt>
                <c:pt idx="11" c:formatCode="m&quot;月&quot;d&quot;日&quot;">
                  <c:v>46065</c:v>
                </c:pt>
                <c:pt idx="12" c:formatCode="m&quot;月&quot;d&quot;日&quot;">
                  <c:v>46066</c:v>
                </c:pt>
                <c:pt idx="13" c:formatCode="m&quot;月&quot;d&quot;日&quot;">
                  <c:v>46067</c:v>
                </c:pt>
                <c:pt idx="14" c:formatCode="m&quot;月&quot;d&quot;日&quot;">
                  <c:v>46068</c:v>
                </c:pt>
                <c:pt idx="15" c:formatCode="m&quot;月&quot;d&quot;日&quot;">
                  <c:v>46069</c:v>
                </c:pt>
                <c:pt idx="16" c:formatCode="m&quot;月&quot;d&quot;日&quot;">
                  <c:v>46070</c:v>
                </c:pt>
                <c:pt idx="17" c:formatCode="m&quot;月&quot;d&quot;日&quot;">
                  <c:v>46071</c:v>
                </c:pt>
                <c:pt idx="18" c:formatCode="m&quot;月&quot;d&quot;日&quot;">
                  <c:v>46072</c:v>
                </c:pt>
                <c:pt idx="19" c:formatCode="m&quot;月&quot;d&quot;日&quot;">
                  <c:v>46073</c:v>
                </c:pt>
                <c:pt idx="20" c:formatCode="m&quot;月&quot;d&quot;日&quot;">
                  <c:v>46074</c:v>
                </c:pt>
                <c:pt idx="21" c:formatCode="m&quot;月&quot;d&quot;日&quot;">
                  <c:v>46075</c:v>
                </c:pt>
                <c:pt idx="22" c:formatCode="m&quot;月&quot;d&quot;日&quot;">
                  <c:v>46076</c:v>
                </c:pt>
                <c:pt idx="23" c:formatCode="m&quot;月&quot;d&quot;日&quot;">
                  <c:v>46077</c:v>
                </c:pt>
                <c:pt idx="24" c:formatCode="m&quot;月&quot;d&quot;日&quot;">
                  <c:v>46078</c:v>
                </c:pt>
                <c:pt idx="25" c:formatCode="m&quot;月&quot;d&quot;日&quot;">
                  <c:v>46079</c:v>
                </c:pt>
                <c:pt idx="26" c:formatCode="m&quot;月&quot;d&quot;日&quot;">
                  <c:v>46080</c:v>
                </c:pt>
                <c:pt idx="27" c:formatCode="m&quot;月&quot;d&quot;日&quot;">
                  <c:v>46081</c:v>
                </c:pt>
                <c:pt idx="28" c:formatCode="m&quot;月&quot;d&quot;日&quot;">
                  <c:v>46082</c:v>
                </c:pt>
                <c:pt idx="29" c:formatCode="m&quot;月&quot;d&quot;日&quot;">
                  <c:v>46083</c:v>
                </c:pt>
                <c:pt idx="30" c:formatCode="m&quot;月&quot;d&quot;日&quot;">
                  <c:v>46084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Sheet3!$S$5:$S$66</c15:sqref>
                  </c15:fullRef>
                </c:ext>
              </c:extLst>
              <c:f>Sheet3!$S$36:$S$66</c:f>
              <c:numCache>
                <c:formatCode>General</c:formatCode>
                <c:ptCount val="31"/>
                <c:pt idx="0">
                  <c:v>44</c:v>
                </c:pt>
                <c:pt idx="1">
                  <c:v>32</c:v>
                </c:pt>
                <c:pt idx="2">
                  <c:v>9</c:v>
                </c:pt>
                <c:pt idx="3">
                  <c:v>85</c:v>
                </c:pt>
                <c:pt idx="4">
                  <c:v>62</c:v>
                </c:pt>
                <c:pt idx="5">
                  <c:v>49</c:v>
                </c:pt>
                <c:pt idx="6">
                  <c:v>35</c:v>
                </c:pt>
                <c:pt idx="7">
                  <c:v>11</c:v>
                </c:pt>
                <c:pt idx="8">
                  <c:v>86</c:v>
                </c:pt>
                <c:pt idx="9">
                  <c:v>69</c:v>
                </c:pt>
                <c:pt idx="10">
                  <c:v>53</c:v>
                </c:pt>
                <c:pt idx="11">
                  <c:v>37</c:v>
                </c:pt>
                <c:pt idx="12">
                  <c:v>18</c:v>
                </c:pt>
                <c:pt idx="13">
                  <c:v>107</c:v>
                </c:pt>
                <c:pt idx="14">
                  <c:v>89</c:v>
                </c:pt>
                <c:pt idx="15">
                  <c:v>75</c:v>
                </c:pt>
                <c:pt idx="16">
                  <c:v>57</c:v>
                </c:pt>
                <c:pt idx="17">
                  <c:v>40</c:v>
                </c:pt>
                <c:pt idx="18">
                  <c:v>15</c:v>
                </c:pt>
                <c:pt idx="19">
                  <c:v>98</c:v>
                </c:pt>
                <c:pt idx="20">
                  <c:v>84</c:v>
                </c:pt>
                <c:pt idx="21">
                  <c:v>65</c:v>
                </c:pt>
                <c:pt idx="22">
                  <c:v>45</c:v>
                </c:pt>
                <c:pt idx="23">
                  <c:v>23</c:v>
                </c:pt>
                <c:pt idx="24">
                  <c:v>107</c:v>
                </c:pt>
                <c:pt idx="25">
                  <c:v>96</c:v>
                </c:pt>
                <c:pt idx="26">
                  <c:v>81</c:v>
                </c:pt>
                <c:pt idx="27">
                  <c:v>62</c:v>
                </c:pt>
                <c:pt idx="28">
                  <c:v>47</c:v>
                </c:pt>
                <c:pt idx="29">
                  <c:v>25</c:v>
                </c:pt>
                <c:pt idx="30">
                  <c:v>109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085711"/>
        <c:axId val="7656335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Sheet3!$R$4</c15:sqref>
                        </c15:formulaRef>
                      </c:ext>
                    </c:extLst>
                    <c:strCache>
                      <c:ptCount val="1"/>
                      <c:pt idx="0">
                        <c:v>每日货量-预测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>Sheet3!$C$5:$C$66</c15:sqref>
                        </c15:fullRef>
                        <c15:formulaRef>
                          <c15:sqref>Sheet3!$C$36:$C$66</c15:sqref>
                        </c15:formulaRef>
                      </c:ext>
                    </c:extLst>
                    <c:numCache>
                      <c:formatCode>m"月"d"日"</c:formatCode>
                      <c:ptCount val="31"/>
                      <c:pt idx="0" c:formatCode="m&quot;月&quot;d&quot;日&quot;">
                        <c:v>46054</c:v>
                      </c:pt>
                      <c:pt idx="1" c:formatCode="m&quot;月&quot;d&quot;日&quot;">
                        <c:v>46055</c:v>
                      </c:pt>
                      <c:pt idx="2" c:formatCode="m&quot;月&quot;d&quot;日&quot;">
                        <c:v>46056</c:v>
                      </c:pt>
                      <c:pt idx="3" c:formatCode="m&quot;月&quot;d&quot;日&quot;">
                        <c:v>46057</c:v>
                      </c:pt>
                      <c:pt idx="4" c:formatCode="m&quot;月&quot;d&quot;日&quot;">
                        <c:v>46058</c:v>
                      </c:pt>
                      <c:pt idx="5" c:formatCode="m&quot;月&quot;d&quot;日&quot;">
                        <c:v>46059</c:v>
                      </c:pt>
                      <c:pt idx="6" c:formatCode="m&quot;月&quot;d&quot;日&quot;">
                        <c:v>46060</c:v>
                      </c:pt>
                      <c:pt idx="7" c:formatCode="m&quot;月&quot;d&quot;日&quot;">
                        <c:v>46061</c:v>
                      </c:pt>
                      <c:pt idx="8" c:formatCode="m&quot;月&quot;d&quot;日&quot;">
                        <c:v>46062</c:v>
                      </c:pt>
                      <c:pt idx="9" c:formatCode="m&quot;月&quot;d&quot;日&quot;">
                        <c:v>46063</c:v>
                      </c:pt>
                      <c:pt idx="10" c:formatCode="m&quot;月&quot;d&quot;日&quot;">
                        <c:v>46064</c:v>
                      </c:pt>
                      <c:pt idx="11" c:formatCode="m&quot;月&quot;d&quot;日&quot;">
                        <c:v>46065</c:v>
                      </c:pt>
                      <c:pt idx="12" c:formatCode="m&quot;月&quot;d&quot;日&quot;">
                        <c:v>46066</c:v>
                      </c:pt>
                      <c:pt idx="13" c:formatCode="m&quot;月&quot;d&quot;日&quot;">
                        <c:v>46067</c:v>
                      </c:pt>
                      <c:pt idx="14" c:formatCode="m&quot;月&quot;d&quot;日&quot;">
                        <c:v>46068</c:v>
                      </c:pt>
                      <c:pt idx="15" c:formatCode="m&quot;月&quot;d&quot;日&quot;">
                        <c:v>46069</c:v>
                      </c:pt>
                      <c:pt idx="16" c:formatCode="m&quot;月&quot;d&quot;日&quot;">
                        <c:v>46070</c:v>
                      </c:pt>
                      <c:pt idx="17" c:formatCode="m&quot;月&quot;d&quot;日&quot;">
                        <c:v>46071</c:v>
                      </c:pt>
                      <c:pt idx="18" c:formatCode="m&quot;月&quot;d&quot;日&quot;">
                        <c:v>46072</c:v>
                      </c:pt>
                      <c:pt idx="19" c:formatCode="m&quot;月&quot;d&quot;日&quot;">
                        <c:v>46073</c:v>
                      </c:pt>
                      <c:pt idx="20" c:formatCode="m&quot;月&quot;d&quot;日&quot;">
                        <c:v>46074</c:v>
                      </c:pt>
                      <c:pt idx="21" c:formatCode="m&quot;月&quot;d&quot;日&quot;">
                        <c:v>46075</c:v>
                      </c:pt>
                      <c:pt idx="22" c:formatCode="m&quot;月&quot;d&quot;日&quot;">
                        <c:v>46076</c:v>
                      </c:pt>
                      <c:pt idx="23" c:formatCode="m&quot;月&quot;d&quot;日&quot;">
                        <c:v>46077</c:v>
                      </c:pt>
                      <c:pt idx="24" c:formatCode="m&quot;月&quot;d&quot;日&quot;">
                        <c:v>46078</c:v>
                      </c:pt>
                      <c:pt idx="25" c:formatCode="m&quot;月&quot;d&quot;日&quot;">
                        <c:v>46079</c:v>
                      </c:pt>
                      <c:pt idx="26" c:formatCode="m&quot;月&quot;d&quot;日&quot;">
                        <c:v>46080</c:v>
                      </c:pt>
                      <c:pt idx="27" c:formatCode="m&quot;月&quot;d&quot;日&quot;">
                        <c:v>46081</c:v>
                      </c:pt>
                      <c:pt idx="28" c:formatCode="m&quot;月&quot;d&quot;日&quot;">
                        <c:v>46082</c:v>
                      </c:pt>
                      <c:pt idx="29" c:formatCode="m&quot;月&quot;d&quot;日&quot;">
                        <c:v>46083</c:v>
                      </c:pt>
                      <c:pt idx="30" c:formatCode="m&quot;月&quot;d&quot;日&quot;">
                        <c:v>46084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Sheet3!$R$5:$R$66</c15:sqref>
                        </c15:fullRef>
                        <c15:formulaRef>
                          <c15:sqref>Sheet3!$R$36:$R$66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31</c:v>
                      </c:pt>
                      <c:pt idx="1">
                        <c:v>32</c:v>
                      </c:pt>
                      <c:pt idx="2">
                        <c:v>22</c:v>
                      </c:pt>
                      <c:pt idx="3">
                        <c:v>96</c:v>
                      </c:pt>
                      <c:pt idx="4">
                        <c:v>82</c:v>
                      </c:pt>
                      <c:pt idx="5">
                        <c:v>70</c:v>
                      </c:pt>
                      <c:pt idx="6">
                        <c:v>36</c:v>
                      </c:pt>
                      <c:pt idx="7">
                        <c:v>10</c:v>
                      </c:pt>
                      <c:pt idx="8">
                        <c:v>80</c:v>
                      </c:pt>
                      <c:pt idx="9">
                        <c:v>66</c:v>
                      </c:pt>
                      <c:pt idx="10">
                        <c:v>61</c:v>
                      </c:pt>
                      <c:pt idx="11">
                        <c:v>37</c:v>
                      </c:pt>
                      <c:pt idx="12">
                        <c:v>10</c:v>
                      </c:pt>
                      <c:pt idx="13">
                        <c:v>89</c:v>
                      </c:pt>
                      <c:pt idx="14">
                        <c:v>71</c:v>
                      </c:pt>
                      <c:pt idx="15">
                        <c:v>63</c:v>
                      </c:pt>
                      <c:pt idx="16">
                        <c:v>50</c:v>
                      </c:pt>
                      <c:pt idx="17">
                        <c:v>45</c:v>
                      </c:pt>
                      <c:pt idx="18">
                        <c:v>25</c:v>
                      </c:pt>
                      <c:pt idx="19">
                        <c:v>113</c:v>
                      </c:pt>
                      <c:pt idx="20">
                        <c:v>96</c:v>
                      </c:pt>
                      <c:pt idx="21">
                        <c:v>73</c:v>
                      </c:pt>
                      <c:pt idx="22">
                        <c:v>41</c:v>
                      </c:pt>
                      <c:pt idx="23">
                        <c:v>21</c:v>
                      </c:pt>
                      <c:pt idx="24">
                        <c:v>111</c:v>
                      </c:pt>
                      <c:pt idx="25">
                        <c:v>90</c:v>
                      </c:pt>
                      <c:pt idx="26">
                        <c:v>75</c:v>
                      </c:pt>
                      <c:pt idx="27">
                        <c:v>48</c:v>
                      </c:pt>
                      <c:pt idx="28">
                        <c:v>30</c:v>
                      </c:pt>
                      <c:pt idx="29">
                        <c:v>27</c:v>
                      </c:pt>
                      <c:pt idx="30">
                        <c:v>117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820857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633575"/>
        <c:crosses val="autoZero"/>
        <c:auto val="1"/>
        <c:lblOffset val="100"/>
        <c:baseTimeUnit val="days"/>
      </c:dateAx>
      <c:valAx>
        <c:axId val="76563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8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d8eed7-8c07-472e-9ddb-d12312c06d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792480</xdr:colOff>
      <xdr:row>5</xdr:row>
      <xdr:rowOff>165100</xdr:rowOff>
    </xdr:from>
    <xdr:to>
      <xdr:col>30</xdr:col>
      <xdr:colOff>497840</xdr:colOff>
      <xdr:row>22</xdr:row>
      <xdr:rowOff>5080</xdr:rowOff>
    </xdr:to>
    <xdr:graphicFrame>
      <xdr:nvGraphicFramePr>
        <xdr:cNvPr id="5" name="图表 4"/>
        <xdr:cNvGraphicFramePr/>
      </xdr:nvGraphicFramePr>
      <xdr:xfrm>
        <a:off x="11719560" y="1079500"/>
        <a:ext cx="10403840" cy="2948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66"/>
  <sheetViews>
    <sheetView tabSelected="1" topLeftCell="D1" workbookViewId="0">
      <selection activeCell="I17" sqref="I17"/>
    </sheetView>
  </sheetViews>
  <sheetFormatPr defaultColWidth="8.88888888888889" defaultRowHeight="14.4"/>
  <cols>
    <col min="6" max="6" width="11.8888888888889" customWidth="1"/>
    <col min="7" max="10" width="13" customWidth="1"/>
    <col min="11" max="11" width="12.7777777777778" customWidth="1"/>
    <col min="12" max="12" width="13" customWidth="1"/>
    <col min="13" max="13" width="11.1111111111111" customWidth="1"/>
    <col min="14" max="14" width="14.1111111111111" customWidth="1"/>
    <col min="15" max="15" width="14.1111111111111"/>
    <col min="16" max="16" width="13.3333333333333" customWidth="1"/>
    <col min="17" max="17" width="10.1111111111111" customWidth="1"/>
    <col min="18" max="18" width="11.7777777777778" customWidth="1"/>
  </cols>
  <sheetData>
    <row r="1" spans="3:19">
      <c r="D1" t="s">
        <v>0</v>
      </c>
      <c r="E1">
        <v>100</v>
      </c>
      <c r="F1" t="s">
        <v>1</v>
      </c>
      <c r="H1" t="s">
        <v>2</v>
      </c>
      <c r="I1">
        <v>4</v>
      </c>
      <c r="J1" t="s">
        <v>3</v>
      </c>
      <c r="K1">
        <v>3</v>
      </c>
      <c r="N1" t="s">
        <v>4</v>
      </c>
      <c r="O1">
        <v>1.65</v>
      </c>
      <c r="S1" t="s">
        <v>5</v>
      </c>
    </row>
    <row r="3" spans="3:19">
      <c r="P3" t="s">
        <v>6</v>
      </c>
      <c r="Q3" t="s">
        <v>7</v>
      </c>
      <c r="R3" t="s">
        <v>8</v>
      </c>
      <c r="S3" s="6" t="s">
        <v>9</v>
      </c>
    </row>
    <row r="4" spans="3:19"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s="1" t="s">
        <v>26</v>
      </c>
    </row>
    <row r="5" spans="3:19">
      <c r="C5" s="2">
        <v>46023</v>
      </c>
      <c r="D5" t="s">
        <v>27</v>
      </c>
      <c r="E5" t="s">
        <v>28</v>
      </c>
      <c r="F5">
        <v>15</v>
      </c>
    </row>
    <row r="6" spans="3:19">
      <c r="C6" s="2">
        <v>46024</v>
      </c>
      <c r="D6" t="s">
        <v>27</v>
      </c>
      <c r="E6" t="s">
        <v>28</v>
      </c>
      <c r="F6">
        <v>11</v>
      </c>
    </row>
    <row r="7" spans="3:19">
      <c r="C7" s="2">
        <v>46025</v>
      </c>
      <c r="D7" t="s">
        <v>27</v>
      </c>
      <c r="E7" t="s">
        <v>28</v>
      </c>
      <c r="F7">
        <v>22</v>
      </c>
    </row>
    <row r="8" spans="3:19">
      <c r="C8" s="2">
        <v>46026</v>
      </c>
      <c r="D8" t="s">
        <v>27</v>
      </c>
      <c r="E8" t="s">
        <v>28</v>
      </c>
      <c r="F8">
        <v>12</v>
      </c>
    </row>
    <row r="9" spans="3:19">
      <c r="C9" s="2">
        <v>46027</v>
      </c>
      <c r="D9" t="s">
        <v>27</v>
      </c>
      <c r="E9" t="s">
        <v>28</v>
      </c>
      <c r="F9">
        <v>13</v>
      </c>
      <c r="G9">
        <f>AVERAGE(F5:F8)</f>
        <v>15</v>
      </c>
      <c r="K9">
        <f>$F9-G9</f>
        <v>-2</v>
      </c>
    </row>
    <row r="10" spans="3:19">
      <c r="C10" s="2">
        <v>46028</v>
      </c>
      <c r="D10" t="s">
        <v>27</v>
      </c>
      <c r="E10" t="s">
        <v>28</v>
      </c>
      <c r="F10">
        <v>21</v>
      </c>
      <c r="G10">
        <f>AVERAGE(F6:F9)</f>
        <v>14.5</v>
      </c>
      <c r="H10">
        <f>AVERAGE(F5:F8)</f>
        <v>15</v>
      </c>
      <c r="K10">
        <f t="shared" ref="K10:K41" si="0">$F10-G10</f>
        <v>6.5</v>
      </c>
      <c r="L10">
        <f>$F10-H10</f>
        <v>6</v>
      </c>
    </row>
    <row r="11" spans="3:19">
      <c r="C11" s="2">
        <v>46029</v>
      </c>
      <c r="D11" t="s">
        <v>27</v>
      </c>
      <c r="E11" t="s">
        <v>28</v>
      </c>
      <c r="F11">
        <v>18</v>
      </c>
      <c r="G11">
        <f t="shared" ref="G10:G36" si="1">AVERAGE(F7:F10)</f>
        <v>17</v>
      </c>
      <c r="H11">
        <f t="shared" ref="H11:H36" si="2">AVERAGE(F6:F9)</f>
        <v>14.5</v>
      </c>
      <c r="I11">
        <f>AVERAGE(F5:F8)</f>
        <v>15</v>
      </c>
      <c r="K11">
        <f t="shared" si="0"/>
        <v>1</v>
      </c>
      <c r="L11">
        <f t="shared" ref="L11:L42" si="3">$F11-H11</f>
        <v>3.5</v>
      </c>
      <c r="M11">
        <f>$F11-I11</f>
        <v>3</v>
      </c>
    </row>
    <row r="12" spans="3:19">
      <c r="C12" s="2">
        <v>46030</v>
      </c>
      <c r="D12" t="s">
        <v>27</v>
      </c>
      <c r="E12" t="s">
        <v>28</v>
      </c>
      <c r="F12">
        <v>23</v>
      </c>
      <c r="G12">
        <f t="shared" si="1"/>
        <v>16</v>
      </c>
      <c r="H12">
        <f t="shared" si="2"/>
        <v>17</v>
      </c>
      <c r="I12">
        <f t="shared" ref="I12:I36" si="4">AVERAGE(F6:F9)</f>
        <v>14.5</v>
      </c>
      <c r="J12">
        <f>AVERAGE(F5:F8)</f>
        <v>15</v>
      </c>
      <c r="K12">
        <f t="shared" si="0"/>
        <v>7</v>
      </c>
      <c r="L12">
        <f t="shared" si="3"/>
        <v>6</v>
      </c>
      <c r="M12">
        <f t="shared" ref="M12:M43" si="5">$F12-I12</f>
        <v>8.5</v>
      </c>
      <c r="N12">
        <f>$F12-J12</f>
        <v>8</v>
      </c>
    </row>
    <row r="13" spans="3:19">
      <c r="C13" s="2">
        <v>46031</v>
      </c>
      <c r="D13" t="s">
        <v>27</v>
      </c>
      <c r="E13" t="s">
        <v>28</v>
      </c>
      <c r="F13">
        <v>10</v>
      </c>
      <c r="G13">
        <f t="shared" si="1"/>
        <v>18.75</v>
      </c>
      <c r="H13">
        <f t="shared" si="2"/>
        <v>16</v>
      </c>
      <c r="I13">
        <f t="shared" si="4"/>
        <v>17</v>
      </c>
      <c r="J13">
        <f t="shared" ref="J13:J36" si="6">AVERAGE(F6:F9)</f>
        <v>14.5</v>
      </c>
      <c r="K13">
        <f t="shared" si="0"/>
        <v>-8.75</v>
      </c>
      <c r="L13">
        <f t="shared" si="3"/>
        <v>-6</v>
      </c>
      <c r="M13">
        <f t="shared" si="5"/>
        <v>-7</v>
      </c>
      <c r="N13">
        <f>$F13-J13</f>
        <v>-4.5</v>
      </c>
    </row>
    <row r="14" spans="3:19">
      <c r="C14" s="2">
        <v>46032</v>
      </c>
      <c r="D14" t="s">
        <v>27</v>
      </c>
      <c r="E14" t="s">
        <v>28</v>
      </c>
      <c r="F14">
        <v>20</v>
      </c>
      <c r="G14">
        <f t="shared" si="1"/>
        <v>18</v>
      </c>
      <c r="H14">
        <f t="shared" si="2"/>
        <v>18.75</v>
      </c>
      <c r="I14">
        <f t="shared" si="4"/>
        <v>16</v>
      </c>
      <c r="J14">
        <f t="shared" si="6"/>
        <v>17</v>
      </c>
      <c r="K14">
        <f t="shared" si="0"/>
        <v>2</v>
      </c>
      <c r="L14">
        <f t="shared" si="3"/>
        <v>1.25</v>
      </c>
      <c r="M14">
        <f t="shared" si="5"/>
        <v>4</v>
      </c>
      <c r="N14">
        <f t="shared" ref="N13:N44" si="7">$F14-J14</f>
        <v>3</v>
      </c>
    </row>
    <row r="15" spans="3:19">
      <c r="C15" s="2">
        <v>46033</v>
      </c>
      <c r="D15" t="s">
        <v>27</v>
      </c>
      <c r="E15" t="s">
        <v>28</v>
      </c>
      <c r="F15">
        <v>19</v>
      </c>
      <c r="G15">
        <f t="shared" si="1"/>
        <v>17.75</v>
      </c>
      <c r="H15">
        <f t="shared" si="2"/>
        <v>18</v>
      </c>
      <c r="I15">
        <f t="shared" si="4"/>
        <v>18.75</v>
      </c>
      <c r="J15">
        <f t="shared" si="6"/>
        <v>16</v>
      </c>
      <c r="K15">
        <f t="shared" si="0"/>
        <v>1.25</v>
      </c>
      <c r="L15">
        <f t="shared" si="3"/>
        <v>1</v>
      </c>
      <c r="M15">
        <f t="shared" si="5"/>
        <v>0.25</v>
      </c>
      <c r="N15">
        <f t="shared" si="7"/>
        <v>3</v>
      </c>
    </row>
    <row r="16" spans="3:19">
      <c r="C16" s="2">
        <v>46034</v>
      </c>
      <c r="D16" t="s">
        <v>27</v>
      </c>
      <c r="E16" t="s">
        <v>28</v>
      </c>
      <c r="F16">
        <v>20</v>
      </c>
      <c r="G16">
        <f t="shared" si="1"/>
        <v>18</v>
      </c>
      <c r="H16">
        <f t="shared" si="2"/>
        <v>17.75</v>
      </c>
      <c r="I16">
        <f t="shared" si="4"/>
        <v>18</v>
      </c>
      <c r="J16">
        <f t="shared" si="6"/>
        <v>18.75</v>
      </c>
      <c r="K16">
        <f t="shared" si="0"/>
        <v>2</v>
      </c>
      <c r="L16">
        <f t="shared" si="3"/>
        <v>2.25</v>
      </c>
      <c r="M16">
        <f t="shared" si="5"/>
        <v>2</v>
      </c>
      <c r="N16">
        <f t="shared" si="7"/>
        <v>1.25</v>
      </c>
    </row>
    <row r="17" spans="3:19">
      <c r="C17" s="2">
        <v>46035</v>
      </c>
      <c r="D17" t="s">
        <v>27</v>
      </c>
      <c r="E17" t="s">
        <v>28</v>
      </c>
      <c r="F17">
        <v>15</v>
      </c>
      <c r="G17">
        <f t="shared" si="1"/>
        <v>17.25</v>
      </c>
      <c r="H17">
        <f t="shared" si="2"/>
        <v>18</v>
      </c>
      <c r="I17">
        <f t="shared" si="4"/>
        <v>17.75</v>
      </c>
      <c r="J17">
        <f t="shared" si="6"/>
        <v>18</v>
      </c>
      <c r="K17">
        <f t="shared" si="0"/>
        <v>-2.25</v>
      </c>
      <c r="L17">
        <f t="shared" si="3"/>
        <v>-3</v>
      </c>
      <c r="M17">
        <f t="shared" si="5"/>
        <v>-2.75</v>
      </c>
      <c r="N17">
        <f t="shared" si="7"/>
        <v>-3</v>
      </c>
    </row>
    <row r="18" spans="3:19">
      <c r="C18" s="2">
        <v>46036</v>
      </c>
      <c r="D18" t="s">
        <v>27</v>
      </c>
      <c r="E18" t="s">
        <v>28</v>
      </c>
      <c r="F18">
        <v>18</v>
      </c>
      <c r="G18">
        <f t="shared" si="1"/>
        <v>18.5</v>
      </c>
      <c r="H18">
        <f t="shared" si="2"/>
        <v>17.25</v>
      </c>
      <c r="I18">
        <f t="shared" si="4"/>
        <v>18</v>
      </c>
      <c r="J18">
        <f t="shared" si="6"/>
        <v>17.75</v>
      </c>
      <c r="K18">
        <f t="shared" si="0"/>
        <v>-0.5</v>
      </c>
      <c r="L18">
        <f t="shared" si="3"/>
        <v>0.75</v>
      </c>
      <c r="M18">
        <f t="shared" si="5"/>
        <v>0</v>
      </c>
      <c r="N18">
        <f t="shared" si="7"/>
        <v>0.25</v>
      </c>
    </row>
    <row r="19" spans="3:19">
      <c r="C19" s="2">
        <v>46037</v>
      </c>
      <c r="D19" t="s">
        <v>27</v>
      </c>
      <c r="E19" t="s">
        <v>28</v>
      </c>
      <c r="F19">
        <v>25</v>
      </c>
      <c r="G19">
        <f t="shared" si="1"/>
        <v>18</v>
      </c>
      <c r="H19">
        <f t="shared" si="2"/>
        <v>18.5</v>
      </c>
      <c r="I19">
        <f t="shared" si="4"/>
        <v>17.25</v>
      </c>
      <c r="J19">
        <f t="shared" si="6"/>
        <v>18</v>
      </c>
      <c r="K19">
        <f t="shared" si="0"/>
        <v>7</v>
      </c>
      <c r="L19">
        <f t="shared" si="3"/>
        <v>6.5</v>
      </c>
      <c r="M19">
        <f t="shared" si="5"/>
        <v>7.75</v>
      </c>
      <c r="N19">
        <f t="shared" si="7"/>
        <v>7</v>
      </c>
    </row>
    <row r="20" spans="3:19">
      <c r="C20" s="2">
        <v>46038</v>
      </c>
      <c r="D20" t="s">
        <v>27</v>
      </c>
      <c r="E20" t="s">
        <v>28</v>
      </c>
      <c r="F20">
        <v>17</v>
      </c>
      <c r="G20">
        <f t="shared" si="1"/>
        <v>19.5</v>
      </c>
      <c r="H20">
        <f t="shared" si="2"/>
        <v>18</v>
      </c>
      <c r="I20">
        <f t="shared" si="4"/>
        <v>18.5</v>
      </c>
      <c r="J20">
        <f t="shared" si="6"/>
        <v>17.25</v>
      </c>
      <c r="K20">
        <f t="shared" si="0"/>
        <v>-2.5</v>
      </c>
      <c r="L20">
        <f t="shared" si="3"/>
        <v>-1</v>
      </c>
      <c r="M20">
        <f t="shared" si="5"/>
        <v>-1.5</v>
      </c>
      <c r="N20">
        <f t="shared" si="7"/>
        <v>-0.25</v>
      </c>
    </row>
    <row r="21" spans="3:19">
      <c r="C21" s="2">
        <v>46039</v>
      </c>
      <c r="D21" t="s">
        <v>27</v>
      </c>
      <c r="E21" t="s">
        <v>28</v>
      </c>
      <c r="F21">
        <v>20</v>
      </c>
      <c r="G21">
        <f t="shared" si="1"/>
        <v>18.75</v>
      </c>
      <c r="H21">
        <f t="shared" si="2"/>
        <v>19.5</v>
      </c>
      <c r="I21">
        <f t="shared" si="4"/>
        <v>18</v>
      </c>
      <c r="J21">
        <f t="shared" si="6"/>
        <v>18.5</v>
      </c>
      <c r="K21">
        <f t="shared" si="0"/>
        <v>1.25</v>
      </c>
      <c r="L21">
        <f t="shared" si="3"/>
        <v>0.5</v>
      </c>
      <c r="M21">
        <f t="shared" si="5"/>
        <v>2</v>
      </c>
      <c r="N21">
        <f t="shared" si="7"/>
        <v>1.5</v>
      </c>
    </row>
    <row r="22" spans="3:19">
      <c r="C22" s="2">
        <v>46040</v>
      </c>
      <c r="D22" t="s">
        <v>27</v>
      </c>
      <c r="E22" t="s">
        <v>28</v>
      </c>
      <c r="F22">
        <v>16</v>
      </c>
      <c r="G22">
        <f t="shared" si="1"/>
        <v>20</v>
      </c>
      <c r="H22">
        <f t="shared" si="2"/>
        <v>18.75</v>
      </c>
      <c r="I22">
        <f t="shared" si="4"/>
        <v>19.5</v>
      </c>
      <c r="J22">
        <f t="shared" si="6"/>
        <v>18</v>
      </c>
      <c r="K22">
        <f t="shared" si="0"/>
        <v>-4</v>
      </c>
      <c r="L22">
        <f t="shared" si="3"/>
        <v>-2.75</v>
      </c>
      <c r="M22">
        <f t="shared" si="5"/>
        <v>-3.5</v>
      </c>
      <c r="N22">
        <f t="shared" si="7"/>
        <v>-2</v>
      </c>
    </row>
    <row r="23" spans="3:19">
      <c r="C23" s="2">
        <v>46041</v>
      </c>
      <c r="D23" t="s">
        <v>27</v>
      </c>
      <c r="E23" t="s">
        <v>28</v>
      </c>
      <c r="F23">
        <v>23</v>
      </c>
      <c r="G23">
        <f t="shared" si="1"/>
        <v>19.5</v>
      </c>
      <c r="H23">
        <f t="shared" si="2"/>
        <v>20</v>
      </c>
      <c r="I23">
        <f t="shared" si="4"/>
        <v>18.75</v>
      </c>
      <c r="J23">
        <f t="shared" si="6"/>
        <v>19.5</v>
      </c>
      <c r="K23">
        <f t="shared" si="0"/>
        <v>3.5</v>
      </c>
      <c r="L23">
        <f t="shared" si="3"/>
        <v>3</v>
      </c>
      <c r="M23">
        <f t="shared" si="5"/>
        <v>4.25</v>
      </c>
      <c r="N23">
        <f t="shared" si="7"/>
        <v>3.5</v>
      </c>
    </row>
    <row r="24" spans="3:19">
      <c r="C24" s="2">
        <v>46042</v>
      </c>
      <c r="D24" t="s">
        <v>27</v>
      </c>
      <c r="E24" t="s">
        <v>28</v>
      </c>
      <c r="F24">
        <v>20</v>
      </c>
      <c r="G24">
        <f t="shared" si="1"/>
        <v>19</v>
      </c>
      <c r="H24">
        <f t="shared" si="2"/>
        <v>19.5</v>
      </c>
      <c r="I24">
        <f t="shared" si="4"/>
        <v>20</v>
      </c>
      <c r="J24">
        <f t="shared" si="6"/>
        <v>18.75</v>
      </c>
      <c r="K24">
        <f t="shared" si="0"/>
        <v>1</v>
      </c>
      <c r="L24">
        <f t="shared" si="3"/>
        <v>0.5</v>
      </c>
      <c r="M24">
        <f t="shared" si="5"/>
        <v>0</v>
      </c>
      <c r="N24">
        <f t="shared" si="7"/>
        <v>1.25</v>
      </c>
    </row>
    <row r="25" spans="3:19">
      <c r="C25" s="2">
        <v>46043</v>
      </c>
      <c r="D25" t="s">
        <v>27</v>
      </c>
      <c r="E25" t="s">
        <v>28</v>
      </c>
      <c r="F25">
        <v>25</v>
      </c>
      <c r="G25">
        <f t="shared" si="1"/>
        <v>19.75</v>
      </c>
      <c r="H25">
        <f t="shared" si="2"/>
        <v>19</v>
      </c>
      <c r="I25">
        <f t="shared" si="4"/>
        <v>19.5</v>
      </c>
      <c r="J25">
        <f t="shared" si="6"/>
        <v>20</v>
      </c>
      <c r="K25">
        <f t="shared" si="0"/>
        <v>5.25</v>
      </c>
      <c r="L25">
        <f t="shared" si="3"/>
        <v>6</v>
      </c>
      <c r="M25">
        <f t="shared" si="5"/>
        <v>5.5</v>
      </c>
      <c r="N25">
        <f t="shared" si="7"/>
        <v>5</v>
      </c>
    </row>
    <row r="26" spans="3:19">
      <c r="C26" s="2">
        <v>46044</v>
      </c>
      <c r="D26" t="s">
        <v>27</v>
      </c>
      <c r="E26" t="s">
        <v>28</v>
      </c>
      <c r="F26">
        <v>10</v>
      </c>
      <c r="G26">
        <f t="shared" si="1"/>
        <v>21</v>
      </c>
      <c r="H26">
        <f t="shared" si="2"/>
        <v>19.75</v>
      </c>
      <c r="I26">
        <f t="shared" si="4"/>
        <v>19</v>
      </c>
      <c r="J26">
        <f t="shared" si="6"/>
        <v>19.5</v>
      </c>
      <c r="K26">
        <f t="shared" si="0"/>
        <v>-11</v>
      </c>
      <c r="L26">
        <f t="shared" si="3"/>
        <v>-9.75</v>
      </c>
      <c r="M26">
        <f t="shared" si="5"/>
        <v>-9</v>
      </c>
      <c r="N26">
        <f t="shared" si="7"/>
        <v>-9.5</v>
      </c>
    </row>
    <row r="27" spans="3:19">
      <c r="C27" s="2">
        <v>46045</v>
      </c>
      <c r="D27" t="s">
        <v>27</v>
      </c>
      <c r="E27" t="s">
        <v>28</v>
      </c>
      <c r="F27">
        <v>15</v>
      </c>
      <c r="G27">
        <f t="shared" si="1"/>
        <v>19.5</v>
      </c>
      <c r="H27">
        <f t="shared" si="2"/>
        <v>21</v>
      </c>
      <c r="I27">
        <f t="shared" si="4"/>
        <v>19.75</v>
      </c>
      <c r="J27">
        <f t="shared" si="6"/>
        <v>19</v>
      </c>
      <c r="K27">
        <f t="shared" si="0"/>
        <v>-4.5</v>
      </c>
      <c r="L27">
        <f t="shared" si="3"/>
        <v>-6</v>
      </c>
      <c r="M27">
        <f t="shared" si="5"/>
        <v>-4.75</v>
      </c>
      <c r="N27">
        <f t="shared" si="7"/>
        <v>-4</v>
      </c>
      <c r="S27">
        <v>200</v>
      </c>
    </row>
    <row r="28" spans="3:19">
      <c r="C28" s="2">
        <v>46046</v>
      </c>
      <c r="D28" t="s">
        <v>27</v>
      </c>
      <c r="E28" t="s">
        <v>28</v>
      </c>
      <c r="F28">
        <v>19</v>
      </c>
      <c r="G28">
        <f t="shared" si="1"/>
        <v>17.5</v>
      </c>
      <c r="H28">
        <f t="shared" si="2"/>
        <v>19.5</v>
      </c>
      <c r="I28">
        <f t="shared" si="4"/>
        <v>21</v>
      </c>
      <c r="J28">
        <f t="shared" si="6"/>
        <v>19.75</v>
      </c>
      <c r="K28">
        <f t="shared" si="0"/>
        <v>1.5</v>
      </c>
      <c r="L28">
        <f t="shared" si="3"/>
        <v>-0.5</v>
      </c>
      <c r="M28">
        <f t="shared" si="5"/>
        <v>-2</v>
      </c>
      <c r="N28">
        <f t="shared" si="7"/>
        <v>-0.75</v>
      </c>
      <c r="O28" s="3">
        <f>STDEV(K9:N27)*$O$1*$I$1</f>
        <v>30.7302162536125</v>
      </c>
      <c r="P28">
        <f>IF(AND(S27-G28-H29-I30-J31&lt;O28,R31&lt;O28),1,0)</f>
        <v>0</v>
      </c>
      <c r="Q28">
        <f>IF(P24=1,$E$1,0)</f>
        <v>0</v>
      </c>
      <c r="S28">
        <f>S27-F28+Q28</f>
        <v>181</v>
      </c>
    </row>
    <row r="29" spans="3:19">
      <c r="C29" s="2">
        <v>46047</v>
      </c>
      <c r="D29" t="s">
        <v>27</v>
      </c>
      <c r="E29" t="s">
        <v>28</v>
      </c>
      <c r="F29">
        <v>25</v>
      </c>
      <c r="G29">
        <f t="shared" si="1"/>
        <v>17.25</v>
      </c>
      <c r="H29">
        <f t="shared" si="2"/>
        <v>17.5</v>
      </c>
      <c r="I29">
        <f t="shared" si="4"/>
        <v>19.5</v>
      </c>
      <c r="J29">
        <f t="shared" si="6"/>
        <v>21</v>
      </c>
      <c r="K29">
        <f t="shared" si="0"/>
        <v>7.75</v>
      </c>
      <c r="L29">
        <f t="shared" si="3"/>
        <v>7.5</v>
      </c>
      <c r="M29">
        <f t="shared" si="5"/>
        <v>5.5</v>
      </c>
      <c r="N29">
        <f t="shared" si="7"/>
        <v>4</v>
      </c>
      <c r="O29" s="3">
        <f t="shared" ref="O29:O66" si="8">STDEV(K10:N28)*1.65*$I$1</f>
        <v>30.117277331054</v>
      </c>
      <c r="P29">
        <f t="shared" ref="P28:P36" si="9">IF(AND(S28-G29-H30-I31-J32&lt;O29,R32&lt;O29),1,0)</f>
        <v>0</v>
      </c>
      <c r="Q29">
        <f t="shared" ref="Q29:Q66" si="10">IF(P25=1,$E$1,0)</f>
        <v>0</v>
      </c>
      <c r="S29">
        <f t="shared" ref="S29:S66" si="11">S28-F29+Q29</f>
        <v>156</v>
      </c>
    </row>
    <row r="30" spans="3:19">
      <c r="C30" s="2">
        <v>46048</v>
      </c>
      <c r="D30" t="s">
        <v>27</v>
      </c>
      <c r="E30" t="s">
        <v>28</v>
      </c>
      <c r="F30">
        <v>14</v>
      </c>
      <c r="G30">
        <f t="shared" si="1"/>
        <v>17.25</v>
      </c>
      <c r="H30">
        <f t="shared" si="2"/>
        <v>17.25</v>
      </c>
      <c r="I30">
        <f t="shared" si="4"/>
        <v>17.5</v>
      </c>
      <c r="J30">
        <f t="shared" si="6"/>
        <v>19.5</v>
      </c>
      <c r="K30">
        <f t="shared" si="0"/>
        <v>-3.25</v>
      </c>
      <c r="L30">
        <f t="shared" si="3"/>
        <v>-3.25</v>
      </c>
      <c r="M30">
        <f t="shared" si="5"/>
        <v>-3.5</v>
      </c>
      <c r="N30">
        <f t="shared" si="7"/>
        <v>-5.5</v>
      </c>
      <c r="O30" s="3">
        <f t="shared" si="8"/>
        <v>30.4191272064141</v>
      </c>
      <c r="P30">
        <f t="shared" si="9"/>
        <v>0</v>
      </c>
      <c r="Q30">
        <f t="shared" si="10"/>
        <v>0</v>
      </c>
      <c r="S30">
        <f t="shared" si="11"/>
        <v>142</v>
      </c>
    </row>
    <row r="31" spans="3:19">
      <c r="C31" s="2">
        <v>46049</v>
      </c>
      <c r="D31" t="s">
        <v>27</v>
      </c>
      <c r="E31" t="s">
        <v>28</v>
      </c>
      <c r="F31">
        <v>18</v>
      </c>
      <c r="G31">
        <f t="shared" si="1"/>
        <v>18.25</v>
      </c>
      <c r="H31">
        <f t="shared" si="2"/>
        <v>17.25</v>
      </c>
      <c r="I31">
        <f t="shared" si="4"/>
        <v>17.25</v>
      </c>
      <c r="J31">
        <f t="shared" si="6"/>
        <v>17.5</v>
      </c>
      <c r="K31">
        <f t="shared" si="0"/>
        <v>-0.25</v>
      </c>
      <c r="L31">
        <f t="shared" si="3"/>
        <v>0.75</v>
      </c>
      <c r="M31">
        <f t="shared" si="5"/>
        <v>0.75</v>
      </c>
      <c r="N31">
        <f t="shared" si="7"/>
        <v>0.5</v>
      </c>
      <c r="O31" s="3">
        <f t="shared" si="8"/>
        <v>30.7926614847725</v>
      </c>
      <c r="P31">
        <f t="shared" si="9"/>
        <v>0</v>
      </c>
      <c r="Q31">
        <f t="shared" si="10"/>
        <v>0</v>
      </c>
      <c r="R31">
        <f>S27-G28-H29-I30-J31+Q31+Q30+Q29+Q28</f>
        <v>130</v>
      </c>
      <c r="S31">
        <f t="shared" si="11"/>
        <v>124</v>
      </c>
    </row>
    <row r="32" spans="3:19">
      <c r="C32" s="2">
        <v>46050</v>
      </c>
      <c r="D32" t="s">
        <v>27</v>
      </c>
      <c r="E32" t="s">
        <v>28</v>
      </c>
      <c r="F32">
        <v>18</v>
      </c>
      <c r="G32">
        <f t="shared" si="1"/>
        <v>19</v>
      </c>
      <c r="H32">
        <f t="shared" si="2"/>
        <v>18.25</v>
      </c>
      <c r="I32">
        <f t="shared" si="4"/>
        <v>17.25</v>
      </c>
      <c r="J32">
        <f t="shared" si="6"/>
        <v>17.25</v>
      </c>
      <c r="K32">
        <f t="shared" si="0"/>
        <v>-1</v>
      </c>
      <c r="L32">
        <f t="shared" si="3"/>
        <v>-0.25</v>
      </c>
      <c r="M32">
        <f t="shared" si="5"/>
        <v>0.75</v>
      </c>
      <c r="N32">
        <f t="shared" si="7"/>
        <v>0.75</v>
      </c>
      <c r="O32" s="3">
        <f t="shared" si="8"/>
        <v>28.6881980135239</v>
      </c>
      <c r="P32">
        <f t="shared" si="9"/>
        <v>0</v>
      </c>
      <c r="Q32">
        <f t="shared" si="10"/>
        <v>0</v>
      </c>
      <c r="R32">
        <f t="shared" ref="R31:R38" si="12">S28-G29-H30-I31-J32+Q32+Q31+Q30+Q29</f>
        <v>112</v>
      </c>
      <c r="S32">
        <f t="shared" si="11"/>
        <v>106</v>
      </c>
    </row>
    <row r="33" spans="3:19">
      <c r="C33" s="2">
        <v>46051</v>
      </c>
      <c r="D33" t="s">
        <v>27</v>
      </c>
      <c r="E33" t="s">
        <v>28</v>
      </c>
      <c r="F33">
        <v>12</v>
      </c>
      <c r="G33">
        <f t="shared" si="1"/>
        <v>18.75</v>
      </c>
      <c r="H33">
        <f t="shared" si="2"/>
        <v>19</v>
      </c>
      <c r="I33">
        <f t="shared" si="4"/>
        <v>18.25</v>
      </c>
      <c r="J33">
        <f t="shared" si="6"/>
        <v>17.25</v>
      </c>
      <c r="K33">
        <f t="shared" si="0"/>
        <v>-6.75</v>
      </c>
      <c r="L33">
        <f t="shared" si="3"/>
        <v>-7</v>
      </c>
      <c r="M33">
        <f t="shared" si="5"/>
        <v>-6.25</v>
      </c>
      <c r="N33">
        <f t="shared" si="7"/>
        <v>-5.25</v>
      </c>
      <c r="O33" s="3">
        <f t="shared" si="8"/>
        <v>26.768640037807</v>
      </c>
      <c r="P33">
        <f t="shared" si="9"/>
        <v>0</v>
      </c>
      <c r="Q33">
        <f t="shared" si="10"/>
        <v>0</v>
      </c>
      <c r="R33">
        <f t="shared" si="12"/>
        <v>87</v>
      </c>
      <c r="S33">
        <f t="shared" si="11"/>
        <v>94</v>
      </c>
    </row>
    <row r="34" spans="3:19">
      <c r="C34" s="2">
        <v>46052</v>
      </c>
      <c r="D34" t="s">
        <v>27</v>
      </c>
      <c r="E34" t="s">
        <v>28</v>
      </c>
      <c r="F34">
        <v>12</v>
      </c>
      <c r="G34">
        <f t="shared" si="1"/>
        <v>15.5</v>
      </c>
      <c r="H34">
        <f t="shared" si="2"/>
        <v>18.75</v>
      </c>
      <c r="I34">
        <f t="shared" si="4"/>
        <v>19</v>
      </c>
      <c r="J34">
        <f t="shared" si="6"/>
        <v>18.25</v>
      </c>
      <c r="K34">
        <f t="shared" si="0"/>
        <v>-3.5</v>
      </c>
      <c r="L34">
        <f t="shared" si="3"/>
        <v>-6.75</v>
      </c>
      <c r="M34">
        <f t="shared" si="5"/>
        <v>-7</v>
      </c>
      <c r="N34">
        <f t="shared" si="7"/>
        <v>-6.25</v>
      </c>
      <c r="O34" s="3">
        <f t="shared" si="8"/>
        <v>28.1573086707332</v>
      </c>
      <c r="P34">
        <f t="shared" si="9"/>
        <v>0</v>
      </c>
      <c r="Q34">
        <f t="shared" si="10"/>
        <v>0</v>
      </c>
      <c r="R34">
        <f t="shared" si="12"/>
        <v>69</v>
      </c>
      <c r="S34" s="4">
        <f t="shared" si="11"/>
        <v>82</v>
      </c>
    </row>
    <row r="35" spans="3:19">
      <c r="C35" s="2">
        <v>46053</v>
      </c>
      <c r="D35" t="s">
        <v>27</v>
      </c>
      <c r="E35" t="s">
        <v>28</v>
      </c>
      <c r="F35">
        <v>22</v>
      </c>
      <c r="G35" s="4">
        <f t="shared" si="1"/>
        <v>15</v>
      </c>
      <c r="H35">
        <f t="shared" si="2"/>
        <v>15.5</v>
      </c>
      <c r="I35">
        <f t="shared" si="4"/>
        <v>18.75</v>
      </c>
      <c r="J35">
        <f t="shared" si="6"/>
        <v>19</v>
      </c>
      <c r="K35">
        <f t="shared" si="0"/>
        <v>7</v>
      </c>
      <c r="L35">
        <f t="shared" si="3"/>
        <v>6.5</v>
      </c>
      <c r="M35">
        <f t="shared" si="5"/>
        <v>3.25</v>
      </c>
      <c r="N35">
        <f t="shared" si="7"/>
        <v>3</v>
      </c>
      <c r="O35" s="3">
        <f t="shared" si="8"/>
        <v>29.2719030003715</v>
      </c>
      <c r="P35" s="5">
        <f t="shared" si="9"/>
        <v>1</v>
      </c>
      <c r="Q35" s="1">
        <f t="shared" si="10"/>
        <v>0</v>
      </c>
      <c r="R35">
        <f t="shared" si="12"/>
        <v>48</v>
      </c>
      <c r="S35">
        <f t="shared" si="11"/>
        <v>60</v>
      </c>
    </row>
    <row r="36" spans="3:19">
      <c r="C36" s="2">
        <v>46054</v>
      </c>
      <c r="D36" t="s">
        <v>27</v>
      </c>
      <c r="E36" t="s">
        <v>28</v>
      </c>
      <c r="F36">
        <v>16</v>
      </c>
      <c r="G36">
        <f t="shared" si="1"/>
        <v>16</v>
      </c>
      <c r="H36" s="4">
        <f t="shared" si="2"/>
        <v>15</v>
      </c>
      <c r="I36">
        <f t="shared" si="4"/>
        <v>15.5</v>
      </c>
      <c r="J36">
        <f t="shared" si="6"/>
        <v>18.75</v>
      </c>
      <c r="K36">
        <f t="shared" si="0"/>
        <v>0</v>
      </c>
      <c r="L36">
        <f t="shared" si="3"/>
        <v>1</v>
      </c>
      <c r="M36">
        <f t="shared" si="5"/>
        <v>0.5</v>
      </c>
      <c r="N36">
        <f t="shared" si="7"/>
        <v>-2.75</v>
      </c>
      <c r="O36" s="3">
        <f t="shared" si="8"/>
        <v>30.3344006776742</v>
      </c>
      <c r="P36">
        <f t="shared" si="9"/>
        <v>0</v>
      </c>
      <c r="Q36" s="1">
        <f t="shared" si="10"/>
        <v>0</v>
      </c>
      <c r="R36">
        <f t="shared" si="12"/>
        <v>31</v>
      </c>
      <c r="S36">
        <f t="shared" si="11"/>
        <v>44</v>
      </c>
    </row>
    <row r="37" spans="3:19">
      <c r="C37" s="2">
        <v>46055</v>
      </c>
      <c r="D37" t="s">
        <v>27</v>
      </c>
      <c r="E37" t="s">
        <v>28</v>
      </c>
      <c r="F37">
        <v>12</v>
      </c>
      <c r="G37">
        <f t="shared" ref="G37:G66" si="13">AVERAGE(F33:F36)</f>
        <v>15.5</v>
      </c>
      <c r="H37">
        <f t="shared" ref="H37:H66" si="14">AVERAGE(F32:F35)</f>
        <v>16</v>
      </c>
      <c r="I37" s="4">
        <f t="shared" ref="I37:I66" si="15">AVERAGE(F31:F34)</f>
        <v>15</v>
      </c>
      <c r="J37">
        <f t="shared" ref="J37:J66" si="16">AVERAGE(F30:F33)</f>
        <v>15.5</v>
      </c>
      <c r="K37">
        <f t="shared" si="0"/>
        <v>-3.5</v>
      </c>
      <c r="L37">
        <f t="shared" si="3"/>
        <v>-4</v>
      </c>
      <c r="M37">
        <f t="shared" si="5"/>
        <v>-3</v>
      </c>
      <c r="N37">
        <f t="shared" si="7"/>
        <v>-3.5</v>
      </c>
      <c r="O37" s="3">
        <f t="shared" si="8"/>
        <v>30.1961942530581</v>
      </c>
      <c r="P37">
        <f t="shared" ref="P35:P66" si="17">IF(AND(S36-G37-H38-I39-J40&lt;O37,R40&lt;O37),1,0)</f>
        <v>0</v>
      </c>
      <c r="Q37" s="1">
        <f t="shared" si="10"/>
        <v>0</v>
      </c>
      <c r="R37">
        <f t="shared" si="12"/>
        <v>32</v>
      </c>
      <c r="S37">
        <f t="shared" si="11"/>
        <v>32</v>
      </c>
    </row>
    <row r="38" spans="3:19">
      <c r="C38" s="2">
        <v>46056</v>
      </c>
      <c r="D38" t="s">
        <v>27</v>
      </c>
      <c r="E38" t="s">
        <v>28</v>
      </c>
      <c r="F38">
        <v>23</v>
      </c>
      <c r="G38">
        <f t="shared" si="13"/>
        <v>15.5</v>
      </c>
      <c r="H38">
        <f t="shared" si="14"/>
        <v>15.5</v>
      </c>
      <c r="I38">
        <f t="shared" si="15"/>
        <v>16</v>
      </c>
      <c r="J38" s="4">
        <f t="shared" si="16"/>
        <v>15</v>
      </c>
      <c r="K38">
        <f t="shared" si="0"/>
        <v>7.5</v>
      </c>
      <c r="L38">
        <f t="shared" si="3"/>
        <v>7.5</v>
      </c>
      <c r="M38">
        <f t="shared" si="5"/>
        <v>7</v>
      </c>
      <c r="N38">
        <f t="shared" si="7"/>
        <v>8</v>
      </c>
      <c r="O38" s="3">
        <f t="shared" si="8"/>
        <v>30.5471093472637</v>
      </c>
      <c r="P38">
        <f t="shared" si="17"/>
        <v>0</v>
      </c>
      <c r="Q38" s="1">
        <f t="shared" si="10"/>
        <v>0</v>
      </c>
      <c r="R38" s="4">
        <f t="shared" si="12"/>
        <v>22</v>
      </c>
      <c r="S38">
        <f t="shared" si="11"/>
        <v>9</v>
      </c>
    </row>
    <row r="39" spans="3:19">
      <c r="C39" s="2">
        <v>46057</v>
      </c>
      <c r="D39" t="s">
        <v>27</v>
      </c>
      <c r="E39" t="s">
        <v>28</v>
      </c>
      <c r="F39">
        <v>24</v>
      </c>
      <c r="G39">
        <f t="shared" si="13"/>
        <v>18.25</v>
      </c>
      <c r="H39">
        <f t="shared" si="14"/>
        <v>15.5</v>
      </c>
      <c r="I39">
        <f t="shared" si="15"/>
        <v>15.5</v>
      </c>
      <c r="J39">
        <f t="shared" si="16"/>
        <v>16</v>
      </c>
      <c r="K39">
        <f t="shared" si="0"/>
        <v>5.75</v>
      </c>
      <c r="L39">
        <f t="shared" si="3"/>
        <v>8.5</v>
      </c>
      <c r="M39">
        <f t="shared" si="5"/>
        <v>8.5</v>
      </c>
      <c r="N39">
        <f t="shared" si="7"/>
        <v>8</v>
      </c>
      <c r="O39" s="3">
        <f t="shared" si="8"/>
        <v>30.8019668075031</v>
      </c>
      <c r="P39">
        <f t="shared" si="17"/>
        <v>0</v>
      </c>
      <c r="Q39">
        <f t="shared" si="10"/>
        <v>100</v>
      </c>
      <c r="R39">
        <f t="shared" ref="R39:R66" si="18">S35-G36-H37-I38-J39+Q39+Q38+Q37+Q36</f>
        <v>96</v>
      </c>
      <c r="S39">
        <f t="shared" si="11"/>
        <v>85</v>
      </c>
    </row>
    <row r="40" spans="3:19">
      <c r="C40" s="2">
        <v>46058</v>
      </c>
      <c r="D40" t="s">
        <v>27</v>
      </c>
      <c r="E40" t="s">
        <v>28</v>
      </c>
      <c r="F40">
        <v>23</v>
      </c>
      <c r="G40">
        <f t="shared" si="13"/>
        <v>18.75</v>
      </c>
      <c r="H40">
        <f t="shared" si="14"/>
        <v>18.25</v>
      </c>
      <c r="I40">
        <f t="shared" si="15"/>
        <v>15.5</v>
      </c>
      <c r="J40">
        <f t="shared" si="16"/>
        <v>15.5</v>
      </c>
      <c r="K40">
        <f t="shared" si="0"/>
        <v>4.25</v>
      </c>
      <c r="L40">
        <f t="shared" si="3"/>
        <v>4.75</v>
      </c>
      <c r="M40">
        <f t="shared" si="5"/>
        <v>7.5</v>
      </c>
      <c r="N40">
        <f t="shared" si="7"/>
        <v>7.5</v>
      </c>
      <c r="O40" s="3">
        <f t="shared" si="8"/>
        <v>33.0730041168895</v>
      </c>
      <c r="P40">
        <f t="shared" si="17"/>
        <v>1</v>
      </c>
      <c r="Q40">
        <f t="shared" si="10"/>
        <v>0</v>
      </c>
      <c r="R40">
        <f t="shared" si="18"/>
        <v>82</v>
      </c>
      <c r="S40">
        <f t="shared" si="11"/>
        <v>62</v>
      </c>
    </row>
    <row r="41" spans="3:19">
      <c r="C41" s="2">
        <v>46059</v>
      </c>
      <c r="D41" t="s">
        <v>27</v>
      </c>
      <c r="E41" t="s">
        <v>28</v>
      </c>
      <c r="F41">
        <v>13</v>
      </c>
      <c r="G41">
        <f t="shared" si="13"/>
        <v>20.5</v>
      </c>
      <c r="H41">
        <f t="shared" si="14"/>
        <v>18.75</v>
      </c>
      <c r="I41">
        <f t="shared" si="15"/>
        <v>18.25</v>
      </c>
      <c r="J41">
        <f t="shared" si="16"/>
        <v>15.5</v>
      </c>
      <c r="K41">
        <f t="shared" si="0"/>
        <v>-7.5</v>
      </c>
      <c r="L41">
        <f t="shared" si="3"/>
        <v>-5.75</v>
      </c>
      <c r="M41">
        <f t="shared" si="5"/>
        <v>-5.25</v>
      </c>
      <c r="N41">
        <f t="shared" si="7"/>
        <v>-2.5</v>
      </c>
      <c r="O41" s="3">
        <f t="shared" si="8"/>
        <v>34.287084418112</v>
      </c>
      <c r="P41">
        <f t="shared" si="17"/>
        <v>0</v>
      </c>
      <c r="Q41">
        <f t="shared" si="10"/>
        <v>0</v>
      </c>
      <c r="R41">
        <f t="shared" si="18"/>
        <v>70</v>
      </c>
      <c r="S41">
        <f t="shared" si="11"/>
        <v>49</v>
      </c>
    </row>
    <row r="42" spans="3:19">
      <c r="C42" s="2">
        <v>46060</v>
      </c>
      <c r="D42" t="s">
        <v>27</v>
      </c>
      <c r="E42" t="s">
        <v>28</v>
      </c>
      <c r="F42">
        <v>14</v>
      </c>
      <c r="G42">
        <f t="shared" si="13"/>
        <v>20.75</v>
      </c>
      <c r="H42">
        <f t="shared" si="14"/>
        <v>20.5</v>
      </c>
      <c r="I42">
        <f t="shared" si="15"/>
        <v>18.75</v>
      </c>
      <c r="J42">
        <f t="shared" si="16"/>
        <v>18.25</v>
      </c>
      <c r="K42">
        <f t="shared" ref="K42:K66" si="19">$F42-G42</f>
        <v>-6.75</v>
      </c>
      <c r="L42">
        <f t="shared" si="3"/>
        <v>-6.5</v>
      </c>
      <c r="M42">
        <f t="shared" si="5"/>
        <v>-4.75</v>
      </c>
      <c r="N42">
        <f t="shared" si="7"/>
        <v>-4.25</v>
      </c>
      <c r="O42" s="3">
        <f t="shared" si="8"/>
        <v>35.01162981594</v>
      </c>
      <c r="P42">
        <f t="shared" si="17"/>
        <v>0</v>
      </c>
      <c r="Q42">
        <f t="shared" si="10"/>
        <v>0</v>
      </c>
      <c r="R42">
        <f t="shared" si="18"/>
        <v>36</v>
      </c>
      <c r="S42">
        <f t="shared" si="11"/>
        <v>35</v>
      </c>
    </row>
    <row r="43" spans="3:19">
      <c r="C43" s="2">
        <v>46061</v>
      </c>
      <c r="D43" t="s">
        <v>27</v>
      </c>
      <c r="E43" t="s">
        <v>28</v>
      </c>
      <c r="F43">
        <v>24</v>
      </c>
      <c r="G43">
        <f t="shared" si="13"/>
        <v>18.5</v>
      </c>
      <c r="H43">
        <f t="shared" si="14"/>
        <v>20.75</v>
      </c>
      <c r="I43">
        <f t="shared" si="15"/>
        <v>20.5</v>
      </c>
      <c r="J43">
        <f t="shared" si="16"/>
        <v>18.75</v>
      </c>
      <c r="K43">
        <f t="shared" si="19"/>
        <v>5.5</v>
      </c>
      <c r="L43">
        <f t="shared" ref="L43:L66" si="20">$F43-H43</f>
        <v>3.25</v>
      </c>
      <c r="M43">
        <f t="shared" si="5"/>
        <v>3.5</v>
      </c>
      <c r="N43">
        <f t="shared" si="7"/>
        <v>5.25</v>
      </c>
      <c r="O43" s="3">
        <f t="shared" si="8"/>
        <v>35.573056646998</v>
      </c>
      <c r="P43">
        <f t="shared" si="17"/>
        <v>0</v>
      </c>
      <c r="Q43">
        <f t="shared" si="10"/>
        <v>0</v>
      </c>
      <c r="R43">
        <f t="shared" si="18"/>
        <v>10</v>
      </c>
      <c r="S43">
        <f t="shared" si="11"/>
        <v>11</v>
      </c>
    </row>
    <row r="44" spans="3:19">
      <c r="C44" s="2">
        <v>46062</v>
      </c>
      <c r="D44" t="s">
        <v>27</v>
      </c>
      <c r="E44" t="s">
        <v>28</v>
      </c>
      <c r="F44">
        <v>25</v>
      </c>
      <c r="G44">
        <f t="shared" si="13"/>
        <v>18.5</v>
      </c>
      <c r="H44">
        <f t="shared" si="14"/>
        <v>18.5</v>
      </c>
      <c r="I44">
        <f t="shared" si="15"/>
        <v>20.75</v>
      </c>
      <c r="J44">
        <f t="shared" si="16"/>
        <v>20.5</v>
      </c>
      <c r="K44">
        <f t="shared" si="19"/>
        <v>6.5</v>
      </c>
      <c r="L44">
        <f t="shared" si="20"/>
        <v>6.5</v>
      </c>
      <c r="M44">
        <f t="shared" ref="M44:M66" si="21">$F44-I44</f>
        <v>4.25</v>
      </c>
      <c r="N44">
        <f t="shared" si="7"/>
        <v>4.5</v>
      </c>
      <c r="O44" s="3">
        <f t="shared" si="8"/>
        <v>36.2645353072755</v>
      </c>
      <c r="P44">
        <f t="shared" si="17"/>
        <v>0</v>
      </c>
      <c r="Q44">
        <f t="shared" si="10"/>
        <v>100</v>
      </c>
      <c r="R44">
        <f t="shared" si="18"/>
        <v>80</v>
      </c>
      <c r="S44">
        <f t="shared" si="11"/>
        <v>86</v>
      </c>
    </row>
    <row r="45" spans="3:19">
      <c r="C45" s="2">
        <v>46063</v>
      </c>
      <c r="D45" t="s">
        <v>27</v>
      </c>
      <c r="E45" t="s">
        <v>28</v>
      </c>
      <c r="F45">
        <v>17</v>
      </c>
      <c r="G45">
        <f t="shared" si="13"/>
        <v>19</v>
      </c>
      <c r="H45">
        <f t="shared" si="14"/>
        <v>18.5</v>
      </c>
      <c r="I45">
        <f t="shared" si="15"/>
        <v>18.5</v>
      </c>
      <c r="J45">
        <f t="shared" si="16"/>
        <v>20.75</v>
      </c>
      <c r="K45">
        <f t="shared" si="19"/>
        <v>-2</v>
      </c>
      <c r="L45">
        <f t="shared" si="20"/>
        <v>-1.5</v>
      </c>
      <c r="M45">
        <f t="shared" si="21"/>
        <v>-1.5</v>
      </c>
      <c r="N45">
        <f t="shared" ref="N45:N66" si="22">$F45-J45</f>
        <v>-3.75</v>
      </c>
      <c r="O45" s="3">
        <f t="shared" si="8"/>
        <v>36.2965524678671</v>
      </c>
      <c r="P45">
        <f t="shared" si="17"/>
        <v>1</v>
      </c>
      <c r="Q45">
        <f t="shared" si="10"/>
        <v>0</v>
      </c>
      <c r="R45">
        <f t="shared" si="18"/>
        <v>66</v>
      </c>
      <c r="S45">
        <f t="shared" si="11"/>
        <v>69</v>
      </c>
    </row>
    <row r="46" spans="3:19">
      <c r="C46" s="2">
        <v>46064</v>
      </c>
      <c r="D46" t="s">
        <v>27</v>
      </c>
      <c r="E46" t="s">
        <v>28</v>
      </c>
      <c r="F46">
        <v>16</v>
      </c>
      <c r="G46">
        <f t="shared" si="13"/>
        <v>20</v>
      </c>
      <c r="H46">
        <f t="shared" si="14"/>
        <v>19</v>
      </c>
      <c r="I46">
        <f t="shared" si="15"/>
        <v>18.5</v>
      </c>
      <c r="J46">
        <f t="shared" si="16"/>
        <v>18.5</v>
      </c>
      <c r="K46">
        <f t="shared" si="19"/>
        <v>-4</v>
      </c>
      <c r="L46">
        <f t="shared" si="20"/>
        <v>-3</v>
      </c>
      <c r="M46">
        <f t="shared" si="21"/>
        <v>-2.5</v>
      </c>
      <c r="N46">
        <f t="shared" si="22"/>
        <v>-2.5</v>
      </c>
      <c r="O46" s="3">
        <f t="shared" si="8"/>
        <v>33.2311744886445</v>
      </c>
      <c r="P46">
        <f t="shared" si="17"/>
        <v>0</v>
      </c>
      <c r="Q46">
        <f t="shared" si="10"/>
        <v>0</v>
      </c>
      <c r="R46">
        <f t="shared" si="18"/>
        <v>61</v>
      </c>
      <c r="S46">
        <f t="shared" si="11"/>
        <v>53</v>
      </c>
    </row>
    <row r="47" spans="3:19">
      <c r="C47" s="2">
        <v>46065</v>
      </c>
      <c r="D47" t="s">
        <v>27</v>
      </c>
      <c r="E47" t="s">
        <v>28</v>
      </c>
      <c r="F47">
        <v>16</v>
      </c>
      <c r="G47">
        <f t="shared" si="13"/>
        <v>20.5</v>
      </c>
      <c r="H47">
        <f t="shared" si="14"/>
        <v>20</v>
      </c>
      <c r="I47">
        <f t="shared" si="15"/>
        <v>19</v>
      </c>
      <c r="J47">
        <f t="shared" si="16"/>
        <v>18.5</v>
      </c>
      <c r="K47">
        <f t="shared" si="19"/>
        <v>-4.5</v>
      </c>
      <c r="L47">
        <f t="shared" si="20"/>
        <v>-4</v>
      </c>
      <c r="M47">
        <f t="shared" si="21"/>
        <v>-3</v>
      </c>
      <c r="N47">
        <f t="shared" si="22"/>
        <v>-2.5</v>
      </c>
      <c r="O47" s="3">
        <f t="shared" si="8"/>
        <v>32.6898696886842</v>
      </c>
      <c r="P47">
        <f t="shared" si="17"/>
        <v>0</v>
      </c>
      <c r="Q47">
        <f t="shared" si="10"/>
        <v>0</v>
      </c>
      <c r="R47">
        <f t="shared" si="18"/>
        <v>37</v>
      </c>
      <c r="S47">
        <f t="shared" si="11"/>
        <v>37</v>
      </c>
    </row>
    <row r="48" spans="3:19">
      <c r="C48" s="2">
        <v>46066</v>
      </c>
      <c r="D48" t="s">
        <v>27</v>
      </c>
      <c r="E48" t="s">
        <v>28</v>
      </c>
      <c r="F48">
        <v>19</v>
      </c>
      <c r="G48">
        <f t="shared" si="13"/>
        <v>18.5</v>
      </c>
      <c r="H48">
        <f t="shared" si="14"/>
        <v>20.5</v>
      </c>
      <c r="I48">
        <f t="shared" si="15"/>
        <v>20</v>
      </c>
      <c r="J48">
        <f t="shared" si="16"/>
        <v>19</v>
      </c>
      <c r="K48">
        <f t="shared" si="19"/>
        <v>0.5</v>
      </c>
      <c r="L48">
        <f t="shared" si="20"/>
        <v>-1.5</v>
      </c>
      <c r="M48">
        <f t="shared" si="21"/>
        <v>-1</v>
      </c>
      <c r="N48">
        <f t="shared" si="22"/>
        <v>0</v>
      </c>
      <c r="O48" s="3">
        <f t="shared" si="8"/>
        <v>33.1363498926862</v>
      </c>
      <c r="P48">
        <f t="shared" si="17"/>
        <v>0</v>
      </c>
      <c r="Q48">
        <f t="shared" si="10"/>
        <v>0</v>
      </c>
      <c r="R48">
        <f t="shared" si="18"/>
        <v>10</v>
      </c>
      <c r="S48">
        <f t="shared" si="11"/>
        <v>18</v>
      </c>
    </row>
    <row r="49" spans="3:19">
      <c r="C49" s="2">
        <v>46067</v>
      </c>
      <c r="D49" t="s">
        <v>27</v>
      </c>
      <c r="E49" t="s">
        <v>28</v>
      </c>
      <c r="F49">
        <v>11</v>
      </c>
      <c r="G49">
        <f t="shared" si="13"/>
        <v>17</v>
      </c>
      <c r="H49">
        <f t="shared" si="14"/>
        <v>18.5</v>
      </c>
      <c r="I49">
        <f t="shared" si="15"/>
        <v>20.5</v>
      </c>
      <c r="J49">
        <f t="shared" si="16"/>
        <v>20</v>
      </c>
      <c r="K49">
        <f t="shared" si="19"/>
        <v>-6</v>
      </c>
      <c r="L49">
        <f t="shared" si="20"/>
        <v>-7.5</v>
      </c>
      <c r="M49">
        <f t="shared" si="21"/>
        <v>-9.5</v>
      </c>
      <c r="N49">
        <f t="shared" si="22"/>
        <v>-9</v>
      </c>
      <c r="O49" s="3">
        <f t="shared" si="8"/>
        <v>31.7093182593648</v>
      </c>
      <c r="P49">
        <f t="shared" si="17"/>
        <v>0</v>
      </c>
      <c r="Q49">
        <f t="shared" si="10"/>
        <v>100</v>
      </c>
      <c r="R49">
        <f t="shared" si="18"/>
        <v>89</v>
      </c>
      <c r="S49">
        <f t="shared" si="11"/>
        <v>107</v>
      </c>
    </row>
    <row r="50" spans="3:19">
      <c r="C50" s="2">
        <v>46068</v>
      </c>
      <c r="D50" t="s">
        <v>27</v>
      </c>
      <c r="E50" t="s">
        <v>28</v>
      </c>
      <c r="F50">
        <v>18</v>
      </c>
      <c r="G50">
        <f t="shared" si="13"/>
        <v>15.5</v>
      </c>
      <c r="H50">
        <f t="shared" si="14"/>
        <v>17</v>
      </c>
      <c r="I50">
        <f t="shared" si="15"/>
        <v>18.5</v>
      </c>
      <c r="J50">
        <f t="shared" si="16"/>
        <v>20.5</v>
      </c>
      <c r="K50">
        <f t="shared" si="19"/>
        <v>2.5</v>
      </c>
      <c r="L50">
        <f t="shared" si="20"/>
        <v>1</v>
      </c>
      <c r="M50">
        <f t="shared" si="21"/>
        <v>-0.5</v>
      </c>
      <c r="N50">
        <f t="shared" si="22"/>
        <v>-2.5</v>
      </c>
      <c r="O50" s="3">
        <f t="shared" si="8"/>
        <v>33.4068869554263</v>
      </c>
      <c r="P50">
        <f t="shared" si="17"/>
        <v>0</v>
      </c>
      <c r="Q50">
        <f t="shared" si="10"/>
        <v>0</v>
      </c>
      <c r="R50">
        <f t="shared" si="18"/>
        <v>71</v>
      </c>
      <c r="S50">
        <f t="shared" si="11"/>
        <v>89</v>
      </c>
    </row>
    <row r="51" spans="3:19">
      <c r="C51" s="2">
        <v>46069</v>
      </c>
      <c r="D51" t="s">
        <v>27</v>
      </c>
      <c r="E51" t="s">
        <v>28</v>
      </c>
      <c r="F51">
        <v>14</v>
      </c>
      <c r="G51">
        <f t="shared" si="13"/>
        <v>16</v>
      </c>
      <c r="H51">
        <f t="shared" si="14"/>
        <v>15.5</v>
      </c>
      <c r="I51">
        <f t="shared" si="15"/>
        <v>17</v>
      </c>
      <c r="J51">
        <f t="shared" si="16"/>
        <v>18.5</v>
      </c>
      <c r="K51">
        <f t="shared" si="19"/>
        <v>-2</v>
      </c>
      <c r="L51">
        <f t="shared" si="20"/>
        <v>-1.5</v>
      </c>
      <c r="M51">
        <f t="shared" si="21"/>
        <v>-3</v>
      </c>
      <c r="N51">
        <f t="shared" si="22"/>
        <v>-4.5</v>
      </c>
      <c r="O51" s="3">
        <f t="shared" si="8"/>
        <v>33.5049447254078</v>
      </c>
      <c r="P51">
        <f t="shared" si="17"/>
        <v>1</v>
      </c>
      <c r="Q51">
        <f t="shared" si="10"/>
        <v>0</v>
      </c>
      <c r="R51">
        <f t="shared" si="18"/>
        <v>63</v>
      </c>
      <c r="S51">
        <f t="shared" si="11"/>
        <v>75</v>
      </c>
    </row>
    <row r="52" spans="3:19">
      <c r="C52" s="2">
        <v>46070</v>
      </c>
      <c r="D52" t="s">
        <v>27</v>
      </c>
      <c r="E52" t="s">
        <v>28</v>
      </c>
      <c r="F52">
        <v>18</v>
      </c>
      <c r="G52">
        <f t="shared" si="13"/>
        <v>15.5</v>
      </c>
      <c r="H52">
        <f t="shared" si="14"/>
        <v>16</v>
      </c>
      <c r="I52">
        <f t="shared" si="15"/>
        <v>15.5</v>
      </c>
      <c r="J52">
        <f t="shared" si="16"/>
        <v>17</v>
      </c>
      <c r="K52">
        <f t="shared" si="19"/>
        <v>2.5</v>
      </c>
      <c r="L52">
        <f t="shared" si="20"/>
        <v>2</v>
      </c>
      <c r="M52">
        <f t="shared" si="21"/>
        <v>2.5</v>
      </c>
      <c r="N52">
        <f t="shared" si="22"/>
        <v>1</v>
      </c>
      <c r="O52" s="3">
        <f t="shared" si="8"/>
        <v>33.6978586114904</v>
      </c>
      <c r="P52">
        <f t="shared" si="17"/>
        <v>0</v>
      </c>
      <c r="Q52">
        <f t="shared" si="10"/>
        <v>0</v>
      </c>
      <c r="R52">
        <f t="shared" si="18"/>
        <v>50</v>
      </c>
      <c r="S52">
        <f t="shared" si="11"/>
        <v>57</v>
      </c>
    </row>
    <row r="53" spans="3:19">
      <c r="C53" s="2">
        <v>46071</v>
      </c>
      <c r="D53" t="s">
        <v>27</v>
      </c>
      <c r="E53" t="s">
        <v>28</v>
      </c>
      <c r="F53">
        <v>17</v>
      </c>
      <c r="G53">
        <f t="shared" si="13"/>
        <v>15.25</v>
      </c>
      <c r="H53">
        <f t="shared" si="14"/>
        <v>15.5</v>
      </c>
      <c r="I53">
        <f t="shared" si="15"/>
        <v>16</v>
      </c>
      <c r="J53">
        <f t="shared" si="16"/>
        <v>15.5</v>
      </c>
      <c r="K53">
        <f t="shared" si="19"/>
        <v>1.75</v>
      </c>
      <c r="L53">
        <f t="shared" si="20"/>
        <v>1.5</v>
      </c>
      <c r="M53">
        <f t="shared" si="21"/>
        <v>1</v>
      </c>
      <c r="N53">
        <f t="shared" si="22"/>
        <v>1.5</v>
      </c>
      <c r="O53" s="3">
        <f t="shared" si="8"/>
        <v>32.6399862132324</v>
      </c>
      <c r="P53">
        <f t="shared" si="17"/>
        <v>0</v>
      </c>
      <c r="Q53">
        <f t="shared" si="10"/>
        <v>0</v>
      </c>
      <c r="R53">
        <f t="shared" si="18"/>
        <v>45</v>
      </c>
      <c r="S53">
        <f t="shared" si="11"/>
        <v>40</v>
      </c>
    </row>
    <row r="54" spans="3:19">
      <c r="C54" s="2">
        <v>46072</v>
      </c>
      <c r="D54" t="s">
        <v>27</v>
      </c>
      <c r="E54" t="s">
        <v>28</v>
      </c>
      <c r="F54">
        <v>25</v>
      </c>
      <c r="G54">
        <f t="shared" si="13"/>
        <v>16.75</v>
      </c>
      <c r="H54">
        <f t="shared" si="14"/>
        <v>15.25</v>
      </c>
      <c r="I54">
        <f t="shared" si="15"/>
        <v>15.5</v>
      </c>
      <c r="J54">
        <f t="shared" si="16"/>
        <v>16</v>
      </c>
      <c r="K54">
        <f t="shared" si="19"/>
        <v>8.25</v>
      </c>
      <c r="L54">
        <f t="shared" si="20"/>
        <v>9.75</v>
      </c>
      <c r="M54">
        <f t="shared" si="21"/>
        <v>9.5</v>
      </c>
      <c r="N54">
        <f t="shared" si="22"/>
        <v>9</v>
      </c>
      <c r="O54" s="3">
        <f t="shared" si="8"/>
        <v>31.3580356737438</v>
      </c>
      <c r="P54">
        <f t="shared" si="17"/>
        <v>0</v>
      </c>
      <c r="Q54">
        <f t="shared" si="10"/>
        <v>0</v>
      </c>
      <c r="R54">
        <f t="shared" si="18"/>
        <v>25</v>
      </c>
      <c r="S54">
        <f t="shared" si="11"/>
        <v>15</v>
      </c>
    </row>
    <row r="55" spans="3:19">
      <c r="C55" s="2">
        <v>46073</v>
      </c>
      <c r="D55" t="s">
        <v>27</v>
      </c>
      <c r="E55" t="s">
        <v>28</v>
      </c>
      <c r="F55">
        <v>17</v>
      </c>
      <c r="G55">
        <f t="shared" si="13"/>
        <v>18.5</v>
      </c>
      <c r="H55">
        <f t="shared" si="14"/>
        <v>16.75</v>
      </c>
      <c r="I55">
        <f t="shared" si="15"/>
        <v>15.25</v>
      </c>
      <c r="J55">
        <f t="shared" si="16"/>
        <v>15.5</v>
      </c>
      <c r="K55">
        <f t="shared" si="19"/>
        <v>-1.5</v>
      </c>
      <c r="L55">
        <f t="shared" si="20"/>
        <v>0.25</v>
      </c>
      <c r="M55">
        <f t="shared" si="21"/>
        <v>1.75</v>
      </c>
      <c r="N55">
        <f t="shared" si="22"/>
        <v>1.5</v>
      </c>
      <c r="O55" s="3">
        <f t="shared" si="8"/>
        <v>33.2561453759024</v>
      </c>
      <c r="P55">
        <f t="shared" si="17"/>
        <v>0</v>
      </c>
      <c r="Q55">
        <f t="shared" si="10"/>
        <v>100</v>
      </c>
      <c r="R55">
        <f t="shared" si="18"/>
        <v>113</v>
      </c>
      <c r="S55">
        <f t="shared" si="11"/>
        <v>98</v>
      </c>
    </row>
    <row r="56" spans="3:19">
      <c r="C56" s="2">
        <v>46074</v>
      </c>
      <c r="D56" t="s">
        <v>27</v>
      </c>
      <c r="E56" t="s">
        <v>28</v>
      </c>
      <c r="F56">
        <v>14</v>
      </c>
      <c r="G56">
        <f t="shared" si="13"/>
        <v>19.25</v>
      </c>
      <c r="H56">
        <f t="shared" si="14"/>
        <v>18.5</v>
      </c>
      <c r="I56">
        <f t="shared" si="15"/>
        <v>16.75</v>
      </c>
      <c r="J56">
        <f t="shared" si="16"/>
        <v>15.25</v>
      </c>
      <c r="K56">
        <f t="shared" si="19"/>
        <v>-5.25</v>
      </c>
      <c r="L56">
        <f t="shared" si="20"/>
        <v>-4.5</v>
      </c>
      <c r="M56">
        <f t="shared" si="21"/>
        <v>-2.75</v>
      </c>
      <c r="N56">
        <f t="shared" si="22"/>
        <v>-1.25</v>
      </c>
      <c r="O56" s="3">
        <f t="shared" si="8"/>
        <v>33.2172800820993</v>
      </c>
      <c r="P56">
        <f t="shared" si="17"/>
        <v>1</v>
      </c>
      <c r="Q56">
        <f t="shared" si="10"/>
        <v>0</v>
      </c>
      <c r="R56">
        <f t="shared" si="18"/>
        <v>96</v>
      </c>
      <c r="S56">
        <f t="shared" si="11"/>
        <v>84</v>
      </c>
    </row>
    <row r="57" spans="3:19">
      <c r="C57" s="2">
        <v>46075</v>
      </c>
      <c r="D57" t="s">
        <v>27</v>
      </c>
      <c r="E57" t="s">
        <v>28</v>
      </c>
      <c r="F57">
        <v>19</v>
      </c>
      <c r="G57">
        <f t="shared" si="13"/>
        <v>18.25</v>
      </c>
      <c r="H57">
        <f t="shared" si="14"/>
        <v>19.25</v>
      </c>
      <c r="I57">
        <f t="shared" si="15"/>
        <v>18.5</v>
      </c>
      <c r="J57">
        <f t="shared" si="16"/>
        <v>16.75</v>
      </c>
      <c r="K57">
        <f t="shared" si="19"/>
        <v>0.75</v>
      </c>
      <c r="L57">
        <f t="shared" si="20"/>
        <v>-0.25</v>
      </c>
      <c r="M57">
        <f t="shared" si="21"/>
        <v>0.5</v>
      </c>
      <c r="N57">
        <f t="shared" si="22"/>
        <v>2.25</v>
      </c>
      <c r="O57" s="3">
        <f t="shared" si="8"/>
        <v>33.2799493926741</v>
      </c>
      <c r="P57">
        <f t="shared" si="17"/>
        <v>0</v>
      </c>
      <c r="Q57">
        <f t="shared" si="10"/>
        <v>0</v>
      </c>
      <c r="R57">
        <f t="shared" si="18"/>
        <v>73</v>
      </c>
      <c r="S57">
        <f t="shared" si="11"/>
        <v>65</v>
      </c>
    </row>
    <row r="58" spans="3:19">
      <c r="C58" s="2">
        <v>46076</v>
      </c>
      <c r="D58" t="s">
        <v>27</v>
      </c>
      <c r="E58" t="s">
        <v>28</v>
      </c>
      <c r="F58">
        <v>20</v>
      </c>
      <c r="G58">
        <f t="shared" si="13"/>
        <v>18.75</v>
      </c>
      <c r="H58">
        <f t="shared" si="14"/>
        <v>18.25</v>
      </c>
      <c r="I58">
        <f t="shared" si="15"/>
        <v>19.25</v>
      </c>
      <c r="J58">
        <f t="shared" si="16"/>
        <v>18.5</v>
      </c>
      <c r="K58">
        <f t="shared" si="19"/>
        <v>1.25</v>
      </c>
      <c r="L58">
        <f t="shared" si="20"/>
        <v>1.75</v>
      </c>
      <c r="M58">
        <f t="shared" si="21"/>
        <v>0.75</v>
      </c>
      <c r="N58">
        <f t="shared" si="22"/>
        <v>1.5</v>
      </c>
      <c r="O58" s="3">
        <f t="shared" si="8"/>
        <v>31.4788632719598</v>
      </c>
      <c r="P58">
        <f t="shared" si="17"/>
        <v>0</v>
      </c>
      <c r="Q58">
        <f t="shared" si="10"/>
        <v>0</v>
      </c>
      <c r="R58">
        <f t="shared" si="18"/>
        <v>41</v>
      </c>
      <c r="S58">
        <f t="shared" si="11"/>
        <v>45</v>
      </c>
    </row>
    <row r="59" spans="3:19">
      <c r="C59" s="2">
        <v>46077</v>
      </c>
      <c r="D59" t="s">
        <v>27</v>
      </c>
      <c r="E59" t="s">
        <v>28</v>
      </c>
      <c r="F59">
        <v>22</v>
      </c>
      <c r="G59">
        <f t="shared" si="13"/>
        <v>17.5</v>
      </c>
      <c r="H59">
        <f t="shared" si="14"/>
        <v>18.75</v>
      </c>
      <c r="I59">
        <f t="shared" si="15"/>
        <v>18.25</v>
      </c>
      <c r="J59">
        <f t="shared" si="16"/>
        <v>19.25</v>
      </c>
      <c r="K59">
        <f t="shared" si="19"/>
        <v>4.5</v>
      </c>
      <c r="L59">
        <f t="shared" si="20"/>
        <v>3.25</v>
      </c>
      <c r="M59">
        <f t="shared" si="21"/>
        <v>3.75</v>
      </c>
      <c r="N59">
        <f t="shared" si="22"/>
        <v>2.75</v>
      </c>
      <c r="O59" s="3">
        <f t="shared" si="8"/>
        <v>29.2426726989676</v>
      </c>
      <c r="P59">
        <f t="shared" si="17"/>
        <v>0</v>
      </c>
      <c r="Q59">
        <f t="shared" si="10"/>
        <v>0</v>
      </c>
      <c r="R59">
        <f t="shared" si="18"/>
        <v>21</v>
      </c>
      <c r="S59">
        <f t="shared" si="11"/>
        <v>23</v>
      </c>
    </row>
    <row r="60" spans="3:19">
      <c r="C60" s="2">
        <v>46078</v>
      </c>
      <c r="D60" t="s">
        <v>27</v>
      </c>
      <c r="E60" t="s">
        <v>28</v>
      </c>
      <c r="F60">
        <v>16</v>
      </c>
      <c r="G60">
        <f t="shared" si="13"/>
        <v>18.75</v>
      </c>
      <c r="H60">
        <f t="shared" si="14"/>
        <v>17.5</v>
      </c>
      <c r="I60">
        <f t="shared" si="15"/>
        <v>18.75</v>
      </c>
      <c r="J60">
        <f t="shared" si="16"/>
        <v>18.25</v>
      </c>
      <c r="K60">
        <f t="shared" si="19"/>
        <v>-2.75</v>
      </c>
      <c r="L60">
        <f t="shared" si="20"/>
        <v>-1.5</v>
      </c>
      <c r="M60">
        <f t="shared" si="21"/>
        <v>-2.75</v>
      </c>
      <c r="N60">
        <f t="shared" si="22"/>
        <v>-2.25</v>
      </c>
      <c r="O60" s="3">
        <f t="shared" si="8"/>
        <v>28.1798264908184</v>
      </c>
      <c r="P60">
        <f t="shared" si="17"/>
        <v>0</v>
      </c>
      <c r="Q60">
        <f t="shared" si="10"/>
        <v>100</v>
      </c>
      <c r="R60">
        <f t="shared" si="18"/>
        <v>111</v>
      </c>
      <c r="S60">
        <f t="shared" si="11"/>
        <v>107</v>
      </c>
    </row>
    <row r="61" spans="3:19">
      <c r="C61" s="2">
        <v>46079</v>
      </c>
      <c r="D61" t="s">
        <v>27</v>
      </c>
      <c r="E61" t="s">
        <v>28</v>
      </c>
      <c r="F61">
        <v>11</v>
      </c>
      <c r="G61">
        <f t="shared" si="13"/>
        <v>19.25</v>
      </c>
      <c r="H61">
        <f t="shared" si="14"/>
        <v>18.75</v>
      </c>
      <c r="I61">
        <f t="shared" si="15"/>
        <v>17.5</v>
      </c>
      <c r="J61">
        <f t="shared" si="16"/>
        <v>18.75</v>
      </c>
      <c r="K61">
        <f t="shared" si="19"/>
        <v>-8.25</v>
      </c>
      <c r="L61">
        <f t="shared" si="20"/>
        <v>-7.75</v>
      </c>
      <c r="M61">
        <f t="shared" si="21"/>
        <v>-6.5</v>
      </c>
      <c r="N61">
        <f t="shared" si="22"/>
        <v>-7.75</v>
      </c>
      <c r="O61" s="3">
        <f t="shared" si="8"/>
        <v>27.1757097665505</v>
      </c>
      <c r="P61">
        <f t="shared" si="17"/>
        <v>0</v>
      </c>
      <c r="Q61">
        <f t="shared" si="10"/>
        <v>0</v>
      </c>
      <c r="R61">
        <f t="shared" si="18"/>
        <v>90</v>
      </c>
      <c r="S61">
        <f t="shared" si="11"/>
        <v>96</v>
      </c>
    </row>
    <row r="62" spans="3:19">
      <c r="C62" s="2">
        <v>46080</v>
      </c>
      <c r="D62" t="s">
        <v>27</v>
      </c>
      <c r="E62" t="s">
        <v>28</v>
      </c>
      <c r="F62">
        <v>15</v>
      </c>
      <c r="G62">
        <f t="shared" si="13"/>
        <v>17.25</v>
      </c>
      <c r="H62">
        <f t="shared" si="14"/>
        <v>19.25</v>
      </c>
      <c r="I62">
        <f t="shared" si="15"/>
        <v>18.75</v>
      </c>
      <c r="J62">
        <f t="shared" si="16"/>
        <v>17.5</v>
      </c>
      <c r="K62">
        <f t="shared" si="19"/>
        <v>-2.25</v>
      </c>
      <c r="L62">
        <f t="shared" si="20"/>
        <v>-4.25</v>
      </c>
      <c r="M62">
        <f t="shared" si="21"/>
        <v>-3.75</v>
      </c>
      <c r="N62">
        <f t="shared" si="22"/>
        <v>-2.5</v>
      </c>
      <c r="O62" s="3">
        <f t="shared" si="8"/>
        <v>28.2137980661199</v>
      </c>
      <c r="P62">
        <f t="shared" si="17"/>
        <v>1</v>
      </c>
      <c r="Q62">
        <f t="shared" si="10"/>
        <v>0</v>
      </c>
      <c r="R62">
        <f t="shared" si="18"/>
        <v>75</v>
      </c>
      <c r="S62">
        <f t="shared" si="11"/>
        <v>81</v>
      </c>
    </row>
    <row r="63" spans="3:19">
      <c r="C63" s="2">
        <v>46081</v>
      </c>
      <c r="D63" t="s">
        <v>27</v>
      </c>
      <c r="E63" t="s">
        <v>28</v>
      </c>
      <c r="F63">
        <v>19</v>
      </c>
      <c r="G63">
        <f t="shared" si="13"/>
        <v>16</v>
      </c>
      <c r="H63">
        <f t="shared" si="14"/>
        <v>17.25</v>
      </c>
      <c r="I63">
        <f t="shared" si="15"/>
        <v>19.25</v>
      </c>
      <c r="J63">
        <f t="shared" si="16"/>
        <v>18.75</v>
      </c>
      <c r="K63">
        <f t="shared" si="19"/>
        <v>3</v>
      </c>
      <c r="L63">
        <f t="shared" si="20"/>
        <v>1.75</v>
      </c>
      <c r="M63">
        <f t="shared" si="21"/>
        <v>-0.25</v>
      </c>
      <c r="N63">
        <f t="shared" si="22"/>
        <v>0.25</v>
      </c>
      <c r="O63" s="3">
        <f t="shared" si="8"/>
        <v>27.5497560405666</v>
      </c>
      <c r="P63">
        <f t="shared" si="17"/>
        <v>0</v>
      </c>
      <c r="Q63">
        <f t="shared" si="10"/>
        <v>0</v>
      </c>
      <c r="R63">
        <f t="shared" si="18"/>
        <v>48</v>
      </c>
      <c r="S63">
        <f t="shared" si="11"/>
        <v>62</v>
      </c>
    </row>
    <row r="64" spans="3:19">
      <c r="C64" s="2">
        <v>46082</v>
      </c>
      <c r="D64" t="s">
        <v>27</v>
      </c>
      <c r="E64" t="s">
        <v>28</v>
      </c>
      <c r="F64">
        <v>15</v>
      </c>
      <c r="G64">
        <f t="shared" si="13"/>
        <v>15.25</v>
      </c>
      <c r="H64">
        <f t="shared" si="14"/>
        <v>16</v>
      </c>
      <c r="I64">
        <f t="shared" si="15"/>
        <v>17.25</v>
      </c>
      <c r="J64">
        <f t="shared" si="16"/>
        <v>19.25</v>
      </c>
      <c r="K64">
        <f t="shared" si="19"/>
        <v>-0.25</v>
      </c>
      <c r="L64">
        <f t="shared" si="20"/>
        <v>-1</v>
      </c>
      <c r="M64">
        <f t="shared" si="21"/>
        <v>-2.25</v>
      </c>
      <c r="N64">
        <f t="shared" si="22"/>
        <v>-4.25</v>
      </c>
      <c r="O64" s="3">
        <f t="shared" si="8"/>
        <v>26.075422487368</v>
      </c>
      <c r="P64">
        <f t="shared" si="17"/>
        <v>1</v>
      </c>
      <c r="Q64">
        <f t="shared" si="10"/>
        <v>0</v>
      </c>
      <c r="R64">
        <f t="shared" si="18"/>
        <v>30</v>
      </c>
      <c r="S64">
        <f t="shared" si="11"/>
        <v>47</v>
      </c>
    </row>
    <row r="65" spans="3:19">
      <c r="C65" s="2">
        <v>46083</v>
      </c>
      <c r="D65" t="s">
        <v>27</v>
      </c>
      <c r="E65" t="s">
        <v>28</v>
      </c>
      <c r="F65">
        <v>22</v>
      </c>
      <c r="G65">
        <f t="shared" si="13"/>
        <v>15</v>
      </c>
      <c r="H65">
        <f t="shared" si="14"/>
        <v>15.25</v>
      </c>
      <c r="I65">
        <f t="shared" si="15"/>
        <v>16</v>
      </c>
      <c r="J65">
        <f t="shared" si="16"/>
        <v>17.25</v>
      </c>
      <c r="K65">
        <f t="shared" si="19"/>
        <v>7</v>
      </c>
      <c r="L65">
        <f t="shared" si="20"/>
        <v>6.75</v>
      </c>
      <c r="M65">
        <f t="shared" si="21"/>
        <v>6</v>
      </c>
      <c r="N65">
        <f t="shared" si="22"/>
        <v>4.75</v>
      </c>
      <c r="O65" s="3">
        <f t="shared" si="8"/>
        <v>26.112543567775</v>
      </c>
      <c r="P65">
        <f t="shared" si="17"/>
        <v>1</v>
      </c>
      <c r="Q65">
        <f t="shared" si="10"/>
        <v>0</v>
      </c>
      <c r="R65">
        <f t="shared" si="18"/>
        <v>27</v>
      </c>
      <c r="S65">
        <f t="shared" si="11"/>
        <v>25</v>
      </c>
    </row>
    <row r="66" spans="3:19">
      <c r="C66" s="2">
        <v>46084</v>
      </c>
      <c r="D66" t="s">
        <v>27</v>
      </c>
      <c r="E66" t="s">
        <v>28</v>
      </c>
      <c r="F66">
        <v>16</v>
      </c>
      <c r="G66">
        <f t="shared" si="13"/>
        <v>17.75</v>
      </c>
      <c r="H66">
        <f t="shared" si="14"/>
        <v>15</v>
      </c>
      <c r="I66">
        <f t="shared" si="15"/>
        <v>15.25</v>
      </c>
      <c r="J66">
        <f t="shared" si="16"/>
        <v>16</v>
      </c>
      <c r="K66">
        <f t="shared" si="19"/>
        <v>-1.75</v>
      </c>
      <c r="L66">
        <f t="shared" si="20"/>
        <v>1</v>
      </c>
      <c r="M66">
        <f t="shared" si="21"/>
        <v>0.75</v>
      </c>
      <c r="N66">
        <f t="shared" si="22"/>
        <v>0</v>
      </c>
      <c r="O66" s="3">
        <f t="shared" si="8"/>
        <v>27.8356172820666</v>
      </c>
      <c r="P66">
        <f t="shared" si="17"/>
        <v>1</v>
      </c>
      <c r="Q66">
        <f t="shared" si="10"/>
        <v>100</v>
      </c>
      <c r="R66">
        <f t="shared" si="18"/>
        <v>117</v>
      </c>
      <c r="S66">
        <f t="shared" si="11"/>
        <v>109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xuecong.yang</dc:creator>
  <cp:lastModifiedBy>yang</cp:lastModifiedBy>
  <dcterms:created xsi:type="dcterms:W3CDTF">2026-03-16T02:29:00Z</dcterms:created>
  <dcterms:modified xsi:type="dcterms:W3CDTF">2026-03-25T11:04:38Z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4245554823F346FA8373C6723A96DD4F_11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